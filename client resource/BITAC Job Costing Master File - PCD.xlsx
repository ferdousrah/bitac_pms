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 activeTab="8"/>
  </bookViews>
  <sheets>
    <sheet name="Costing Sheet" sheetId="5" r:id="rId1"/>
    <sheet name="HT Cal" sheetId="9" r:id="rId2"/>
    <sheet name="HT Size" sheetId="8" r:id="rId3"/>
    <sheet name="Weight Cal" sheetId="7" r:id="rId4"/>
    <sheet name="Input Size" sheetId="6" r:id="rId5"/>
    <sheet name="Conditions" sheetId="4" r:id="rId6"/>
    <sheet name="Density" sheetId="3" r:id="rId7"/>
    <sheet name="Materials Rate" sheetId="2" r:id="rId8"/>
    <sheet name="Machining" sheetId="1" r:id="rId9"/>
  </sheets>
  <definedNames>
    <definedName name="_xlnm.Print_Area" localSheetId="0">'Costing Sheet'!$A$1:$G$58</definedName>
  </definedNames>
  <calcPr calcId="162913"/>
</workbook>
</file>

<file path=xl/calcChain.xml><?xml version="1.0" encoding="utf-8"?>
<calcChain xmlns="http://schemas.openxmlformats.org/spreadsheetml/2006/main">
  <c r="C37" i="5" l="1"/>
  <c r="C38" i="5"/>
  <c r="R41" i="8" l="1"/>
  <c r="R42" i="8"/>
  <c r="R43" i="8"/>
  <c r="R44" i="8"/>
  <c r="M41" i="8"/>
  <c r="M42" i="8"/>
  <c r="M43" i="8"/>
  <c r="M44" i="8"/>
  <c r="M30" i="8"/>
  <c r="M31" i="8"/>
  <c r="M32" i="8"/>
  <c r="M33" i="8"/>
  <c r="H30" i="8"/>
  <c r="H31" i="8"/>
  <c r="H32" i="8"/>
  <c r="H33" i="8"/>
  <c r="R8" i="8"/>
  <c r="R9" i="8"/>
  <c r="R10" i="8"/>
  <c r="R11" i="8"/>
  <c r="R7" i="8"/>
  <c r="M8" i="8"/>
  <c r="M9" i="8"/>
  <c r="M10" i="8"/>
  <c r="M11" i="8"/>
  <c r="H8" i="8"/>
  <c r="H9" i="8"/>
  <c r="H10" i="8"/>
  <c r="H11" i="8"/>
  <c r="H19" i="8"/>
  <c r="H20" i="8"/>
  <c r="H21" i="8"/>
  <c r="H22" i="8"/>
  <c r="M19" i="8"/>
  <c r="M20" i="8"/>
  <c r="M21" i="8"/>
  <c r="M22" i="8"/>
  <c r="H18" i="8"/>
  <c r="M18" i="8"/>
  <c r="R40" i="8"/>
  <c r="M40" i="8"/>
  <c r="H29" i="8"/>
  <c r="H7" i="8" l="1"/>
  <c r="M7" i="8"/>
  <c r="C46" i="5"/>
  <c r="E31" i="5"/>
  <c r="F31" i="5" s="1"/>
  <c r="F44" i="5"/>
  <c r="F45" i="5"/>
  <c r="F43" i="5"/>
  <c r="E36" i="5"/>
  <c r="H41" i="8"/>
  <c r="H42" i="8"/>
  <c r="H43" i="8"/>
  <c r="H44" i="8"/>
  <c r="H40" i="8"/>
  <c r="M29" i="8"/>
  <c r="G37" i="9"/>
  <c r="G34" i="9"/>
  <c r="G35" i="9"/>
  <c r="G36" i="9"/>
  <c r="G33" i="9"/>
  <c r="G25" i="9"/>
  <c r="G26" i="9"/>
  <c r="G27" i="9"/>
  <c r="G28" i="9"/>
  <c r="G24" i="9"/>
  <c r="G16" i="9"/>
  <c r="G17" i="9"/>
  <c r="G18" i="9"/>
  <c r="G19" i="9"/>
  <c r="G15" i="9"/>
  <c r="G7" i="9"/>
  <c r="G8" i="9"/>
  <c r="G9" i="9"/>
  <c r="G10" i="9"/>
  <c r="G6" i="9"/>
  <c r="E72" i="2"/>
  <c r="E73" i="2"/>
  <c r="E74" i="2"/>
  <c r="E75" i="2"/>
  <c r="E76" i="2"/>
  <c r="E77" i="2"/>
  <c r="E78" i="2"/>
  <c r="E7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9" i="2"/>
  <c r="F46" i="5" l="1"/>
  <c r="C24" i="7"/>
  <c r="E37" i="5" l="1"/>
  <c r="E38" i="5"/>
  <c r="D37" i="9"/>
  <c r="E34" i="9"/>
  <c r="E35" i="9"/>
  <c r="E36" i="9"/>
  <c r="E37" i="9"/>
  <c r="D34" i="9"/>
  <c r="D35" i="9"/>
  <c r="D36" i="9"/>
  <c r="C34" i="9"/>
  <c r="C35" i="9"/>
  <c r="C36" i="9"/>
  <c r="C37" i="9"/>
  <c r="E33" i="9"/>
  <c r="C16" i="9"/>
  <c r="C17" i="9"/>
  <c r="C18" i="9"/>
  <c r="C19" i="9"/>
  <c r="D16" i="9"/>
  <c r="D17" i="9"/>
  <c r="D18" i="9"/>
  <c r="D25" i="9"/>
  <c r="D26" i="9"/>
  <c r="D27" i="9"/>
  <c r="F27" i="9" s="1"/>
  <c r="D28" i="9"/>
  <c r="F28" i="9" s="1"/>
  <c r="C25" i="9"/>
  <c r="C26" i="9"/>
  <c r="C27" i="9"/>
  <c r="C28" i="9"/>
  <c r="D24" i="9"/>
  <c r="C24" i="9"/>
  <c r="D15" i="9"/>
  <c r="C15" i="9"/>
  <c r="D6" i="9"/>
  <c r="F19" i="9"/>
  <c r="H19" i="9" s="1"/>
  <c r="D19" i="9"/>
  <c r="E10" i="9"/>
  <c r="D10" i="9"/>
  <c r="C10" i="9"/>
  <c r="E9" i="9"/>
  <c r="D9" i="9"/>
  <c r="C9" i="9"/>
  <c r="E8" i="9"/>
  <c r="D8" i="9"/>
  <c r="C8" i="9"/>
  <c r="E7" i="9"/>
  <c r="D7" i="9"/>
  <c r="C7" i="9"/>
  <c r="D33" i="9"/>
  <c r="C33" i="9"/>
  <c r="E6" i="9"/>
  <c r="C6" i="9"/>
  <c r="C16" i="5"/>
  <c r="C17" i="5"/>
  <c r="C18" i="5"/>
  <c r="C19" i="5"/>
  <c r="E34" i="7"/>
  <c r="E35" i="7"/>
  <c r="E36" i="7"/>
  <c r="E37" i="7"/>
  <c r="D34" i="7"/>
  <c r="D35" i="7"/>
  <c r="D36" i="7"/>
  <c r="D37" i="7"/>
  <c r="C34" i="7"/>
  <c r="C35" i="7"/>
  <c r="C36" i="7"/>
  <c r="C37" i="7"/>
  <c r="E33" i="7"/>
  <c r="D33" i="7"/>
  <c r="C33" i="7"/>
  <c r="D25" i="7"/>
  <c r="D26" i="7"/>
  <c r="D27" i="7"/>
  <c r="D28" i="7"/>
  <c r="C25" i="7"/>
  <c r="C26" i="7"/>
  <c r="C27" i="7"/>
  <c r="C28" i="7"/>
  <c r="D24" i="7"/>
  <c r="D16" i="7"/>
  <c r="D17" i="7"/>
  <c r="D18" i="7"/>
  <c r="D19" i="7"/>
  <c r="C16" i="7"/>
  <c r="C17" i="7"/>
  <c r="C18" i="7"/>
  <c r="C19" i="7"/>
  <c r="D15" i="7"/>
  <c r="C15" i="7"/>
  <c r="E7" i="7"/>
  <c r="E8" i="7"/>
  <c r="E9" i="7"/>
  <c r="E10" i="7"/>
  <c r="D7" i="7"/>
  <c r="D8" i="7"/>
  <c r="D9" i="7"/>
  <c r="D10" i="7"/>
  <c r="C7" i="7"/>
  <c r="C8" i="7"/>
  <c r="C9" i="7"/>
  <c r="C10" i="7"/>
  <c r="M7" i="6"/>
  <c r="D6" i="7" s="1"/>
  <c r="H7" i="6"/>
  <c r="C6" i="7" s="1"/>
  <c r="G34" i="7"/>
  <c r="G35" i="7"/>
  <c r="G36" i="7"/>
  <c r="G37" i="7"/>
  <c r="G33" i="7"/>
  <c r="F25" i="7"/>
  <c r="F26" i="7"/>
  <c r="F27" i="7"/>
  <c r="F28" i="7"/>
  <c r="F24" i="7"/>
  <c r="F16" i="7"/>
  <c r="F17" i="7"/>
  <c r="F18" i="7"/>
  <c r="F19" i="7"/>
  <c r="F15" i="7"/>
  <c r="G7" i="7"/>
  <c r="G8" i="7"/>
  <c r="G9" i="7"/>
  <c r="G10" i="7"/>
  <c r="G6" i="7"/>
  <c r="M41" i="6"/>
  <c r="M42" i="6"/>
  <c r="M43" i="6"/>
  <c r="M44" i="6"/>
  <c r="R41" i="6"/>
  <c r="R42" i="6"/>
  <c r="R43" i="6"/>
  <c r="R44" i="6"/>
  <c r="H41" i="6"/>
  <c r="H42" i="6"/>
  <c r="H43" i="6"/>
  <c r="H44" i="6"/>
  <c r="R40" i="6"/>
  <c r="M40" i="6"/>
  <c r="H40" i="6"/>
  <c r="M30" i="6"/>
  <c r="M31" i="6"/>
  <c r="M32" i="6"/>
  <c r="M33" i="6"/>
  <c r="M29" i="6"/>
  <c r="H30" i="6"/>
  <c r="H31" i="6"/>
  <c r="H32" i="6"/>
  <c r="H33" i="6"/>
  <c r="M19" i="6"/>
  <c r="M20" i="6"/>
  <c r="M21" i="6"/>
  <c r="M22" i="6"/>
  <c r="H19" i="6"/>
  <c r="H20" i="6"/>
  <c r="H21" i="6"/>
  <c r="H22" i="6"/>
  <c r="R7" i="6"/>
  <c r="E6" i="7" s="1"/>
  <c r="M8" i="6"/>
  <c r="M9" i="6"/>
  <c r="M10" i="6"/>
  <c r="M11" i="6"/>
  <c r="H8" i="6"/>
  <c r="H9" i="6"/>
  <c r="H10" i="6"/>
  <c r="H11" i="6"/>
  <c r="H29" i="6"/>
  <c r="M18" i="6"/>
  <c r="H18" i="6"/>
  <c r="R8" i="6"/>
  <c r="R9" i="6"/>
  <c r="R10" i="6"/>
  <c r="R11" i="6"/>
  <c r="F24" i="9" l="1"/>
  <c r="H24" i="9" s="1"/>
  <c r="F25" i="9"/>
  <c r="H25" i="9" s="1"/>
  <c r="F26" i="9"/>
  <c r="H26" i="9" s="1"/>
  <c r="F34" i="9"/>
  <c r="H34" i="9" s="1"/>
  <c r="H27" i="9"/>
  <c r="F9" i="7"/>
  <c r="H9" i="7" s="1"/>
  <c r="F10" i="7"/>
  <c r="H10" i="7" s="1"/>
  <c r="F8" i="7"/>
  <c r="H8" i="7" s="1"/>
  <c r="F7" i="7"/>
  <c r="H7" i="7" s="1"/>
  <c r="F7" i="9"/>
  <c r="F8" i="9"/>
  <c r="H8" i="9" s="1"/>
  <c r="F9" i="9"/>
  <c r="H9" i="9" s="1"/>
  <c r="F10" i="9"/>
  <c r="H10" i="9" s="1"/>
  <c r="F37" i="9"/>
  <c r="H37" i="9" s="1"/>
  <c r="F35" i="9"/>
  <c r="H35" i="9" s="1"/>
  <c r="F36" i="9"/>
  <c r="H36" i="9" s="1"/>
  <c r="H28" i="9"/>
  <c r="F18" i="9"/>
  <c r="H18" i="9" s="1"/>
  <c r="F17" i="9"/>
  <c r="H17" i="9" s="1"/>
  <c r="F16" i="9"/>
  <c r="H16" i="9" s="1"/>
  <c r="F15" i="9"/>
  <c r="H15" i="9" s="1"/>
  <c r="F33" i="9"/>
  <c r="E19" i="9"/>
  <c r="F6" i="9"/>
  <c r="C36" i="5" s="1"/>
  <c r="C39" i="5" s="1"/>
  <c r="H7" i="9"/>
  <c r="E19" i="7"/>
  <c r="H19" i="7" s="1"/>
  <c r="E15" i="7"/>
  <c r="H15" i="7" s="1"/>
  <c r="E16" i="7"/>
  <c r="H16" i="7" s="1"/>
  <c r="F33" i="7"/>
  <c r="H33" i="7" s="1"/>
  <c r="F34" i="7"/>
  <c r="H34" i="7" s="1"/>
  <c r="F36" i="7"/>
  <c r="H36" i="7" s="1"/>
  <c r="E17" i="7"/>
  <c r="H17" i="7" s="1"/>
  <c r="E18" i="7"/>
  <c r="H18" i="7" s="1"/>
  <c r="E25" i="7"/>
  <c r="H25" i="7" s="1"/>
  <c r="E27" i="7"/>
  <c r="H27" i="7" s="1"/>
  <c r="F35" i="7"/>
  <c r="H35" i="7" s="1"/>
  <c r="F6" i="7"/>
  <c r="H6" i="7" s="1"/>
  <c r="C15" i="5" s="1"/>
  <c r="C20" i="5" s="1"/>
  <c r="E24" i="7"/>
  <c r="H24" i="7" s="1"/>
  <c r="E26" i="7"/>
  <c r="H26" i="7" s="1"/>
  <c r="F37" i="7"/>
  <c r="H37" i="7" s="1"/>
  <c r="E28" i="7"/>
  <c r="H28" i="7" s="1"/>
  <c r="E16" i="5"/>
  <c r="F16" i="5" s="1"/>
  <c r="E17" i="5"/>
  <c r="F17" i="5" s="1"/>
  <c r="E18" i="5"/>
  <c r="F18" i="5" s="1"/>
  <c r="E19" i="5"/>
  <c r="F19" i="5" s="1"/>
  <c r="E15" i="5"/>
  <c r="F38" i="5"/>
  <c r="F37" i="5"/>
  <c r="F15" i="5" l="1"/>
  <c r="F20" i="5" s="1"/>
  <c r="H6" i="9"/>
  <c r="F36" i="5"/>
  <c r="F39" i="5" s="1"/>
  <c r="H33" i="9"/>
  <c r="H38" i="7"/>
  <c r="C32" i="5"/>
  <c r="E30" i="5"/>
  <c r="F30" i="5" s="1"/>
  <c r="E29" i="5"/>
  <c r="F29" i="5" s="1"/>
  <c r="E28" i="5"/>
  <c r="F28" i="5" s="1"/>
  <c r="E27" i="5"/>
  <c r="F27" i="5" s="1"/>
  <c r="E26" i="5"/>
  <c r="F26" i="5" s="1"/>
  <c r="E25" i="5"/>
  <c r="F25" i="5" s="1"/>
  <c r="E24" i="5"/>
  <c r="F24" i="5" s="1"/>
  <c r="F32" i="5" l="1"/>
  <c r="F47" i="5" s="1"/>
  <c r="H38" i="9"/>
  <c r="F48" i="5" l="1"/>
  <c r="F49" i="5" l="1"/>
  <c r="F50" i="5" s="1"/>
  <c r="F51" i="5" s="1"/>
  <c r="F52" i="5" s="1"/>
</calcChain>
</file>

<file path=xl/sharedStrings.xml><?xml version="1.0" encoding="utf-8"?>
<sst xmlns="http://schemas.openxmlformats.org/spreadsheetml/2006/main" count="785" uniqueCount="284">
  <si>
    <t>Bangladesh Industrial technical Assistant Centre</t>
  </si>
  <si>
    <t>116 Kha, Tejgaon I/A.</t>
  </si>
  <si>
    <t>Dhaka-1208</t>
  </si>
  <si>
    <t>Sl No</t>
  </si>
  <si>
    <t>Machining Items</t>
  </si>
  <si>
    <t>Group A</t>
  </si>
  <si>
    <t>Group B</t>
  </si>
  <si>
    <t>Group C</t>
  </si>
  <si>
    <t>Remarks</t>
  </si>
  <si>
    <t>For Small &amp; Cottege
 Industry</t>
  </si>
  <si>
    <t>For Corp. Multinational 
&amp; Large Industries</t>
  </si>
  <si>
    <t>For Import Substitute</t>
  </si>
  <si>
    <t>01</t>
  </si>
  <si>
    <t>Heavy Duity Lathe</t>
  </si>
  <si>
    <t>02</t>
  </si>
  <si>
    <t>Medium &amp; Precision Lathe</t>
  </si>
  <si>
    <t>03</t>
  </si>
  <si>
    <t>Heavy Duity Milling</t>
  </si>
  <si>
    <t>04</t>
  </si>
  <si>
    <t>Medium &amp; Precision Milling</t>
  </si>
  <si>
    <t>05</t>
  </si>
  <si>
    <t>Cylindrical Grinding</t>
  </si>
  <si>
    <t>06</t>
  </si>
  <si>
    <t>Centerless Grinding</t>
  </si>
  <si>
    <t>07</t>
  </si>
  <si>
    <t>Tool Grinding</t>
  </si>
  <si>
    <t>08</t>
  </si>
  <si>
    <t>Jig Grinding</t>
  </si>
  <si>
    <t>09</t>
  </si>
  <si>
    <t>Drill</t>
  </si>
  <si>
    <t>10</t>
  </si>
  <si>
    <t>Radial Drill</t>
  </si>
  <si>
    <t>11</t>
  </si>
  <si>
    <t>Shaper</t>
  </si>
  <si>
    <t>12</t>
  </si>
  <si>
    <t>13</t>
  </si>
  <si>
    <t>14</t>
  </si>
  <si>
    <t>Vertical Lathe</t>
  </si>
  <si>
    <t>15</t>
  </si>
  <si>
    <t>Jig Boring Old</t>
  </si>
  <si>
    <t>16</t>
  </si>
  <si>
    <t xml:space="preserve">Jig Boring </t>
  </si>
  <si>
    <t>17</t>
  </si>
  <si>
    <t>Slotting</t>
  </si>
  <si>
    <t>18</t>
  </si>
  <si>
    <t>Gear Hob</t>
  </si>
  <si>
    <t>19</t>
  </si>
  <si>
    <t>Bend Saw</t>
  </si>
  <si>
    <t>20</t>
  </si>
  <si>
    <t>Sheet Cutting</t>
  </si>
  <si>
    <t>21</t>
  </si>
  <si>
    <t>Sheet Bending</t>
  </si>
  <si>
    <t>22</t>
  </si>
  <si>
    <t>Sheet Rolling</t>
  </si>
  <si>
    <t>23</t>
  </si>
  <si>
    <t>Hydraulic Press</t>
  </si>
  <si>
    <t>24</t>
  </si>
  <si>
    <t>Welding Excluding Electrode</t>
  </si>
  <si>
    <t>25</t>
  </si>
  <si>
    <t>26</t>
  </si>
  <si>
    <t>Copy Milling</t>
  </si>
  <si>
    <t>27</t>
  </si>
  <si>
    <t>Pentrograph</t>
  </si>
  <si>
    <t>28</t>
  </si>
  <si>
    <t>Mechanical Press</t>
  </si>
  <si>
    <t>29</t>
  </si>
  <si>
    <t>Die &amp; Mold Fitting Work</t>
  </si>
  <si>
    <t>30</t>
  </si>
  <si>
    <t>Pattern Cost</t>
  </si>
  <si>
    <t>31</t>
  </si>
  <si>
    <t>32</t>
  </si>
  <si>
    <t>33</t>
  </si>
  <si>
    <t>Gun Metal Casting</t>
  </si>
  <si>
    <t>34</t>
  </si>
  <si>
    <t>P/Al Bronze Casting</t>
  </si>
  <si>
    <t>35</t>
  </si>
  <si>
    <t>Al Casting</t>
  </si>
  <si>
    <t>36</t>
  </si>
  <si>
    <t>37</t>
  </si>
  <si>
    <t>Bright Crome Plating</t>
  </si>
  <si>
    <t>38</t>
  </si>
  <si>
    <t>Hard Crome Palting</t>
  </si>
  <si>
    <t>39</t>
  </si>
  <si>
    <t>Zn Plating</t>
  </si>
  <si>
    <t>40</t>
  </si>
  <si>
    <t>Zn+ Cad Plating</t>
  </si>
  <si>
    <t>41</t>
  </si>
  <si>
    <t>Heat Treatment</t>
  </si>
  <si>
    <t>42</t>
  </si>
  <si>
    <t>Sealling Plaiers</t>
  </si>
  <si>
    <t>43</t>
  </si>
  <si>
    <t>44</t>
  </si>
  <si>
    <t>45</t>
  </si>
  <si>
    <t>Signature Die</t>
  </si>
  <si>
    <t>46</t>
  </si>
  <si>
    <t>Letter Inserting</t>
  </si>
  <si>
    <t>47</t>
  </si>
  <si>
    <t>Number Incerting</t>
  </si>
  <si>
    <t>48</t>
  </si>
  <si>
    <t>Medel Embossing</t>
  </si>
  <si>
    <t>Rate Tk/Kg</t>
  </si>
  <si>
    <t>Cast iron</t>
  </si>
  <si>
    <t>Cast Steel</t>
  </si>
  <si>
    <t>Gun Metal</t>
  </si>
  <si>
    <t>Alloy Tool Steel</t>
  </si>
  <si>
    <t>Copper</t>
  </si>
  <si>
    <t>Metal or Alloy</t>
  </si>
  <si>
    <t>Density</t>
  </si>
  <si>
    <r>
      <t>(kg/m</t>
    </r>
    <r>
      <rPr>
        <b/>
        <i/>
        <vertAlign val="superscript"/>
        <sz val="12"/>
        <color theme="1"/>
        <rFont val="Calibri"/>
        <family val="2"/>
        <scheme val="minor"/>
      </rPr>
      <t>3</t>
    </r>
    <r>
      <rPr>
        <b/>
        <i/>
        <sz val="12"/>
        <color theme="1"/>
        <rFont val="Calibri"/>
        <family val="2"/>
        <scheme val="minor"/>
      </rPr>
      <t>)</t>
    </r>
  </si>
  <si>
    <t>49</t>
  </si>
  <si>
    <t>50</t>
  </si>
  <si>
    <t>51</t>
  </si>
  <si>
    <t>52</t>
  </si>
  <si>
    <t>Aluminum - 6061</t>
  </si>
  <si>
    <t>53</t>
  </si>
  <si>
    <t>54</t>
  </si>
  <si>
    <t>Lead</t>
  </si>
  <si>
    <t>55</t>
  </si>
  <si>
    <t>Aluminum bronze (3-10% Al)</t>
  </si>
  <si>
    <t>56</t>
  </si>
  <si>
    <t>57</t>
  </si>
  <si>
    <t>Lithium</t>
  </si>
  <si>
    <t>58</t>
  </si>
  <si>
    <t>Magnesium</t>
  </si>
  <si>
    <t>59</t>
  </si>
  <si>
    <t>Manganese</t>
  </si>
  <si>
    <t>60</t>
  </si>
  <si>
    <t>Manganese Bronze</t>
  </si>
  <si>
    <t>61</t>
  </si>
  <si>
    <t>Mercury</t>
  </si>
  <si>
    <t>Molybdenum</t>
  </si>
  <si>
    <t>Monel</t>
  </si>
  <si>
    <t>Nichrome</t>
  </si>
  <si>
    <t>Nickel</t>
  </si>
  <si>
    <t>Bronze - lead</t>
  </si>
  <si>
    <t>Bronze - phosphorous</t>
  </si>
  <si>
    <t>Bronze (8-14% Sn)</t>
  </si>
  <si>
    <t>Nickel silver</t>
  </si>
  <si>
    <t>Phosphor bronze</t>
  </si>
  <si>
    <t>Chromium</t>
  </si>
  <si>
    <t>Cobalt</t>
  </si>
  <si>
    <t>Red Brass</t>
  </si>
  <si>
    <t>Silver</t>
  </si>
  <si>
    <t>Solder 50/50 Pb Sn</t>
  </si>
  <si>
    <t>Cupronickel</t>
  </si>
  <si>
    <t>Steel</t>
  </si>
  <si>
    <t>Delta metal</t>
  </si>
  <si>
    <t>Tin</t>
  </si>
  <si>
    <t>Duralumin</t>
  </si>
  <si>
    <t>Titanium</t>
  </si>
  <si>
    <t>Tungsten</t>
  </si>
  <si>
    <t>Vanadium</t>
  </si>
  <si>
    <t>White metal</t>
  </si>
  <si>
    <t>Germanium</t>
  </si>
  <si>
    <t>Wrought Iron</t>
  </si>
  <si>
    <t>Gold</t>
  </si>
  <si>
    <t>Zinc</t>
  </si>
  <si>
    <t>Yellow Brass</t>
  </si>
  <si>
    <t>Planner Machining</t>
  </si>
  <si>
    <t>Planner Grinding</t>
  </si>
  <si>
    <t>Boring Old</t>
  </si>
  <si>
    <t>Boring New</t>
  </si>
  <si>
    <t>Tappping</t>
  </si>
  <si>
    <t>C.I Casting Simple</t>
  </si>
  <si>
    <t>C.I Casting Complex</t>
  </si>
  <si>
    <t>N/A</t>
  </si>
  <si>
    <t>Alloy C.I Low Alloy</t>
  </si>
  <si>
    <t>Alloy C.I High Alloy</t>
  </si>
  <si>
    <t>White Metalling Lead Base</t>
  </si>
  <si>
    <t>White Metalling  Tin Base</t>
  </si>
  <si>
    <t>Nickel Plating</t>
  </si>
  <si>
    <t>Silver Coating</t>
  </si>
  <si>
    <t>Anneling</t>
  </si>
  <si>
    <t>Embossing (Gold)</t>
  </si>
  <si>
    <t>Embossing (Bronze)</t>
  </si>
  <si>
    <t>Embossing (Replica)</t>
  </si>
  <si>
    <t>Percution Machine</t>
  </si>
  <si>
    <t>Babbitt Metal</t>
  </si>
  <si>
    <t>Brass -60/40/rolled and drawn</t>
  </si>
  <si>
    <t>Iron Alloy</t>
  </si>
  <si>
    <t>Stainless Steel 304</t>
  </si>
  <si>
    <t>Propeller Shaft</t>
  </si>
  <si>
    <t>Stud Bolt</t>
  </si>
  <si>
    <t>Stainless Steel Magnetic</t>
  </si>
  <si>
    <t>Stainless Steel Non-Magnetic</t>
  </si>
  <si>
    <t>D2</t>
  </si>
  <si>
    <t>D3</t>
  </si>
  <si>
    <t>Cr-12</t>
  </si>
  <si>
    <t>Medium Carbon steel</t>
  </si>
  <si>
    <t>Quality Materials</t>
  </si>
  <si>
    <t>Special Materials</t>
  </si>
  <si>
    <t>EN-24(ATS, SB)</t>
  </si>
  <si>
    <t>EN-36 (AS, PS)</t>
  </si>
  <si>
    <t>SKD-11, Hi-C Hi-Cr</t>
  </si>
  <si>
    <t>Stainless Steel 30 (Food Grade)</t>
  </si>
  <si>
    <t>Stainless Steel 316L (Pharma Grade)</t>
  </si>
  <si>
    <t>H13</t>
  </si>
  <si>
    <t>Company Name:</t>
  </si>
  <si>
    <t>Job Name:</t>
  </si>
  <si>
    <t>Job/Part No:</t>
  </si>
  <si>
    <t>Actual Size:</t>
  </si>
  <si>
    <t>Sl. No.</t>
  </si>
  <si>
    <t>Material Name</t>
  </si>
  <si>
    <t>Quantity (KG)</t>
  </si>
  <si>
    <t>Rate (TK/KG)</t>
  </si>
  <si>
    <t>Amount (TK)</t>
  </si>
  <si>
    <t>Operation Name</t>
  </si>
  <si>
    <t>Rate (TK)</t>
  </si>
  <si>
    <t>Hour</t>
  </si>
  <si>
    <t>TK/Hour</t>
  </si>
  <si>
    <t>Sub-Total</t>
  </si>
  <si>
    <t>Quantity (Time)</t>
  </si>
  <si>
    <t>Over Head Cost</t>
  </si>
  <si>
    <t>Types of Cost</t>
  </si>
  <si>
    <t>Percentage</t>
  </si>
  <si>
    <t>VAT</t>
  </si>
  <si>
    <t>Times/ Precision</t>
  </si>
  <si>
    <t>Multiplies</t>
  </si>
  <si>
    <t>Job Quantity</t>
  </si>
  <si>
    <t>A. Material Cost</t>
  </si>
  <si>
    <t>B. Machining Cost</t>
  </si>
  <si>
    <t>C. Surface Treatment Cost</t>
  </si>
  <si>
    <t>Required Raw Material Size (Input)</t>
  </si>
  <si>
    <t>1. Rectangular Job</t>
  </si>
  <si>
    <t>Material</t>
  </si>
  <si>
    <t>Unit</t>
  </si>
  <si>
    <t>Length (M)</t>
  </si>
  <si>
    <t>Width (M)</t>
  </si>
  <si>
    <t>Height / Thickness (M)</t>
  </si>
  <si>
    <t>INCH</t>
  </si>
  <si>
    <t>FEET</t>
  </si>
  <si>
    <t>MM</t>
  </si>
  <si>
    <t>M</t>
  </si>
  <si>
    <t>2. Square Job</t>
  </si>
  <si>
    <t>Side (M)</t>
  </si>
  <si>
    <t>3. Cylindrical Job</t>
  </si>
  <si>
    <t>DIA (M)</t>
  </si>
  <si>
    <t>4. Cylindrical Hollow Job</t>
  </si>
  <si>
    <t>DIA-D (M)</t>
  </si>
  <si>
    <t>DIA-d (M)</t>
  </si>
  <si>
    <t>Area Volume and Weight Calculation Sheet</t>
  </si>
  <si>
    <t>Height (M)</t>
  </si>
  <si>
    <t>Volume (M³)</t>
  </si>
  <si>
    <t>Density (kg/m³)</t>
  </si>
  <si>
    <t>Weight (KG)</t>
  </si>
  <si>
    <t>Weight</t>
  </si>
  <si>
    <t>Total Weight :</t>
  </si>
  <si>
    <t>62</t>
  </si>
  <si>
    <t>63</t>
  </si>
  <si>
    <t>64</t>
  </si>
  <si>
    <t>65</t>
  </si>
  <si>
    <t>66</t>
  </si>
  <si>
    <t>67</t>
  </si>
  <si>
    <t>68</t>
  </si>
  <si>
    <t>69</t>
  </si>
  <si>
    <t>Materials Size:</t>
  </si>
  <si>
    <t>Bangladesh Industrial Technical Assistance Centre</t>
  </si>
  <si>
    <r>
      <rPr>
        <u/>
        <sz val="11"/>
        <color theme="1"/>
        <rFont val="Calibri"/>
        <family val="2"/>
        <scheme val="minor"/>
      </rPr>
      <t xml:space="preserve">Estimated By  </t>
    </r>
    <r>
      <rPr>
        <sz val="11"/>
        <color theme="1"/>
        <rFont val="Calibri"/>
        <family val="2"/>
        <scheme val="minor"/>
      </rPr>
      <t xml:space="preserve">                                                           </t>
    </r>
    <r>
      <rPr>
        <u/>
        <sz val="11"/>
        <color theme="1"/>
        <rFont val="Calibri"/>
        <family val="2"/>
        <scheme val="minor"/>
      </rPr>
      <t xml:space="preserve">Checked By   </t>
    </r>
    <r>
      <rPr>
        <sz val="11"/>
        <color theme="1"/>
        <rFont val="Calibri"/>
        <family val="2"/>
        <scheme val="minor"/>
      </rPr>
      <t xml:space="preserve">                                                               </t>
    </r>
    <r>
      <rPr>
        <u/>
        <sz val="11"/>
        <color theme="1"/>
        <rFont val="Calibri"/>
        <family val="2"/>
        <scheme val="minor"/>
      </rPr>
      <t>Approved BY</t>
    </r>
  </si>
  <si>
    <t>Job Estimating/Costing</t>
  </si>
  <si>
    <t>Stainless Steel 304 (Food Grade)</t>
  </si>
  <si>
    <t>Wire Cut</t>
  </si>
  <si>
    <t>VMC</t>
  </si>
  <si>
    <t>EDM</t>
  </si>
  <si>
    <t>Embossing Machine</t>
  </si>
  <si>
    <t>70</t>
  </si>
  <si>
    <t>Wood</t>
  </si>
  <si>
    <t>Marking Hammer</t>
  </si>
  <si>
    <r>
      <t>(kg/In</t>
    </r>
    <r>
      <rPr>
        <b/>
        <i/>
        <vertAlign val="superscript"/>
        <sz val="12"/>
        <color theme="1"/>
        <rFont val="Calibri"/>
        <family val="2"/>
        <scheme val="minor"/>
      </rPr>
      <t>3</t>
    </r>
    <r>
      <rPr>
        <b/>
        <i/>
        <sz val="12"/>
        <color theme="1"/>
        <rFont val="Calibri"/>
        <family val="2"/>
        <scheme val="minor"/>
      </rPr>
      <t>)</t>
    </r>
  </si>
  <si>
    <t>Volume (In³)</t>
  </si>
  <si>
    <t>Density (kg/In³)</t>
  </si>
  <si>
    <t>Density (kg/In³</t>
  </si>
  <si>
    <t>A+B+C+D</t>
  </si>
  <si>
    <t>E. Net Cost =</t>
  </si>
  <si>
    <t>F. Over Head Cost (%) =</t>
  </si>
  <si>
    <t>G. VAT (%) =</t>
  </si>
  <si>
    <t>H.Times(×)=</t>
  </si>
  <si>
    <t>I. Total =</t>
  </si>
  <si>
    <t>J. Grand Total=</t>
  </si>
  <si>
    <t>D. Other Parts</t>
  </si>
  <si>
    <t>Quantity (PCs)</t>
  </si>
  <si>
    <t>TK/PCs</t>
  </si>
  <si>
    <t>In³</t>
  </si>
  <si>
    <t>TK/In³</t>
  </si>
  <si>
    <t>Polishing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</si>
</sst>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.00;[Red]#,##0.00"/>
    <numFmt numFmtId="165" formatCode="_(* #,##0.00_);_(* \(#,##0.00\);_(* &quot;-&quot;_);_(@_)"/>
    <numFmt numFmtId="166" formatCode="#,##0.0000;[Red]#,##0.0000"/>
  </numFmts>
  <fonts count="2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Calibri"/>
      <family val="2"/>
      <scheme val="minor"/>
    </font>
    <font>
      <b/>
      <sz val="11"/>
      <color theme="1" tint="4.9989318521683403E-2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i/>
      <vertAlign val="superscript"/>
      <sz val="12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sz val="11"/>
      <color theme="1"/>
      <name val="Times New Roman"/>
      <family val="1"/>
    </font>
    <font>
      <sz val="12"/>
      <color theme="1"/>
      <name val="Calibri"/>
      <family val="2"/>
      <scheme val="minor"/>
    </font>
    <font>
      <sz val="11"/>
      <color theme="1"/>
      <name val="Arial"/>
      <family val="2"/>
    </font>
    <font>
      <b/>
      <sz val="12"/>
      <color theme="1"/>
      <name val="Arial"/>
      <family val="2"/>
    </font>
    <font>
      <u/>
      <sz val="16"/>
      <color theme="1"/>
      <name val="Arial"/>
      <family val="2"/>
    </font>
    <font>
      <sz val="12"/>
      <color theme="1"/>
      <name val="Arial"/>
      <family val="2"/>
    </font>
    <font>
      <sz val="11"/>
      <color rgb="FFFF0000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4"/>
      <color theme="1"/>
      <name val="Calibri"/>
      <family val="2"/>
      <scheme val="minor"/>
    </font>
    <font>
      <u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86">
    <border>
      <left/>
      <right/>
      <top/>
      <bottom/>
      <diagonal/>
    </border>
    <border>
      <left style="medium">
        <color theme="1"/>
      </left>
      <right style="thin">
        <color indexed="64"/>
      </right>
      <top style="medium">
        <color theme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theme="1"/>
      </top>
      <bottom/>
      <diagonal/>
    </border>
    <border>
      <left style="thin">
        <color indexed="64"/>
      </left>
      <right style="thin">
        <color indexed="64"/>
      </right>
      <top style="medium">
        <color theme="1"/>
      </top>
      <bottom style="thin">
        <color indexed="64"/>
      </bottom>
      <diagonal/>
    </border>
    <border>
      <left style="thin">
        <color indexed="64"/>
      </left>
      <right style="medium">
        <color theme="1"/>
      </right>
      <top style="medium">
        <color theme="1"/>
      </top>
      <bottom style="thin">
        <color indexed="64"/>
      </bottom>
      <diagonal/>
    </border>
    <border>
      <left style="medium">
        <color theme="1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theme="1"/>
      </right>
      <top style="thin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/>
      <bottom style="medium">
        <color indexed="64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double">
        <color indexed="64"/>
      </bottom>
      <diagonal/>
    </border>
    <border>
      <left style="thin">
        <color indexed="64"/>
      </left>
      <right/>
      <top style="thin">
        <color auto="1"/>
      </top>
      <bottom style="double">
        <color indexed="64"/>
      </bottom>
      <diagonal/>
    </border>
    <border>
      <left/>
      <right style="thin">
        <color indexed="64"/>
      </right>
      <top style="thin">
        <color auto="1"/>
      </top>
      <bottom style="double">
        <color indexed="64"/>
      </bottom>
      <diagonal/>
    </border>
    <border>
      <left/>
      <right style="medium">
        <color auto="1"/>
      </right>
      <top style="thin">
        <color auto="1"/>
      </top>
      <bottom style="double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/>
      <bottom style="medium">
        <color indexed="64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auto="1"/>
      </top>
      <bottom/>
      <diagonal/>
    </border>
    <border>
      <left/>
      <right style="thin">
        <color indexed="64"/>
      </right>
      <top style="thin">
        <color auto="1"/>
      </top>
      <bottom/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medium">
        <color auto="1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22">
    <xf numFmtId="0" fontId="0" fillId="0" borderId="0" xfId="0"/>
    <xf numFmtId="0" fontId="4" fillId="0" borderId="3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 wrapText="1"/>
    </xf>
    <xf numFmtId="0" fontId="0" fillId="0" borderId="9" xfId="0" applyFont="1" applyBorder="1"/>
    <xf numFmtId="0" fontId="0" fillId="0" borderId="0" xfId="0" applyBorder="1"/>
    <xf numFmtId="0" fontId="3" fillId="0" borderId="0" xfId="0" applyFont="1" applyAlignment="1">
      <alignment horizontal="center"/>
    </xf>
    <xf numFmtId="0" fontId="6" fillId="2" borderId="10" xfId="0" applyFont="1" applyFill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left" vertical="top" wrapText="1"/>
    </xf>
    <xf numFmtId="0" fontId="0" fillId="0" borderId="9" xfId="0" applyFont="1" applyBorder="1" applyAlignment="1">
      <alignment horizontal="center"/>
    </xf>
    <xf numFmtId="0" fontId="1" fillId="2" borderId="10" xfId="0" quotePrefix="1" applyFont="1" applyFill="1" applyBorder="1" applyAlignment="1">
      <alignment horizontal="center"/>
    </xf>
    <xf numFmtId="0" fontId="1" fillId="0" borderId="0" xfId="0" applyFont="1" applyBorder="1"/>
    <xf numFmtId="0" fontId="0" fillId="0" borderId="10" xfId="0" applyBorder="1"/>
    <xf numFmtId="0" fontId="1" fillId="0" borderId="10" xfId="0" applyFont="1" applyBorder="1"/>
    <xf numFmtId="0" fontId="1" fillId="0" borderId="0" xfId="0" quotePrefix="1" applyFont="1" applyBorder="1"/>
    <xf numFmtId="0" fontId="1" fillId="0" borderId="0" xfId="0" applyFont="1" applyBorder="1" applyAlignment="1">
      <alignment horizontal="center"/>
    </xf>
    <xf numFmtId="0" fontId="2" fillId="0" borderId="0" xfId="0" applyFont="1" applyAlignment="1">
      <alignment vertical="center"/>
    </xf>
    <xf numFmtId="0" fontId="3" fillId="0" borderId="0" xfId="0" applyFont="1" applyAlignment="1"/>
    <xf numFmtId="164" fontId="1" fillId="2" borderId="10" xfId="0" applyNumberFormat="1" applyFont="1" applyFill="1" applyBorder="1" applyAlignment="1">
      <alignment horizontal="center" vertical="top" wrapText="1"/>
    </xf>
    <xf numFmtId="164" fontId="1" fillId="0" borderId="10" xfId="0" applyNumberFormat="1" applyFont="1" applyBorder="1" applyAlignment="1">
      <alignment horizontal="center"/>
    </xf>
    <xf numFmtId="0" fontId="1" fillId="2" borderId="10" xfId="0" quotePrefix="1" applyFont="1" applyFill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164" fontId="5" fillId="0" borderId="9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/>
    </xf>
    <xf numFmtId="164" fontId="0" fillId="0" borderId="0" xfId="0" applyNumberFormat="1"/>
    <xf numFmtId="0" fontId="0" fillId="0" borderId="0" xfId="0" applyBorder="1" applyAlignment="1">
      <alignment vertical="center"/>
    </xf>
    <xf numFmtId="0" fontId="0" fillId="0" borderId="0" xfId="0" applyBorder="1" applyAlignment="1">
      <alignment horizontal="center" vertical="center"/>
    </xf>
    <xf numFmtId="0" fontId="0" fillId="0" borderId="10" xfId="0" applyFill="1" applyBorder="1" applyAlignment="1">
      <alignment horizontal="center" vertical="center"/>
    </xf>
    <xf numFmtId="0" fontId="10" fillId="0" borderId="0" xfId="0" applyFont="1"/>
    <xf numFmtId="0" fontId="1" fillId="0" borderId="10" xfId="0" applyFont="1" applyBorder="1" applyAlignment="1">
      <alignment horizontal="center" vertical="center"/>
    </xf>
    <xf numFmtId="0" fontId="12" fillId="0" borderId="0" xfId="0" applyFont="1" applyProtection="1">
      <protection hidden="1"/>
    </xf>
    <xf numFmtId="0" fontId="13" fillId="0" borderId="0" xfId="0" applyFont="1" applyProtection="1">
      <protection hidden="1"/>
    </xf>
    <xf numFmtId="0" fontId="12" fillId="0" borderId="0" xfId="0" applyFont="1" applyBorder="1" applyProtection="1">
      <protection hidden="1"/>
    </xf>
    <xf numFmtId="0" fontId="13" fillId="0" borderId="0" xfId="0" applyFont="1" applyBorder="1" applyProtection="1">
      <protection hidden="1"/>
    </xf>
    <xf numFmtId="0" fontId="14" fillId="0" borderId="0" xfId="0" applyFont="1"/>
    <xf numFmtId="0" fontId="15" fillId="0" borderId="0" xfId="0" applyFont="1"/>
    <xf numFmtId="0" fontId="13" fillId="0" borderId="0" xfId="0" applyFont="1" applyAlignment="1">
      <alignment horizontal="center" vertical="center"/>
    </xf>
    <xf numFmtId="0" fontId="13" fillId="0" borderId="0" xfId="0" applyFont="1"/>
    <xf numFmtId="0" fontId="5" fillId="0" borderId="32" xfId="0" quotePrefix="1" applyFont="1" applyBorder="1"/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1" fillId="0" borderId="33" xfId="0" applyFont="1" applyBorder="1" applyAlignment="1">
      <alignment horizontal="center" vertical="center" wrapText="1"/>
    </xf>
    <xf numFmtId="0" fontId="1" fillId="0" borderId="34" xfId="0" applyFont="1" applyBorder="1" applyAlignment="1">
      <alignment horizontal="center" vertical="center"/>
    </xf>
    <xf numFmtId="0" fontId="1" fillId="0" borderId="34" xfId="0" applyFont="1" applyBorder="1" applyAlignment="1">
      <alignment horizontal="center" vertical="center" wrapText="1"/>
    </xf>
    <xf numFmtId="0" fontId="0" fillId="0" borderId="38" xfId="0" applyBorder="1"/>
    <xf numFmtId="0" fontId="0" fillId="0" borderId="18" xfId="0" applyBorder="1"/>
    <xf numFmtId="0" fontId="0" fillId="0" borderId="16" xfId="0" applyBorder="1"/>
    <xf numFmtId="0" fontId="0" fillId="0" borderId="25" xfId="0" applyBorder="1"/>
    <xf numFmtId="164" fontId="0" fillId="0" borderId="39" xfId="0" applyNumberFormat="1" applyBorder="1" applyAlignment="1">
      <alignment horizontal="center"/>
    </xf>
    <xf numFmtId="164" fontId="0" fillId="0" borderId="39" xfId="0" applyNumberFormat="1" applyBorder="1" applyAlignment="1">
      <alignment horizontal="right"/>
    </xf>
    <xf numFmtId="164" fontId="0" fillId="0" borderId="40" xfId="0" applyNumberFormat="1" applyBorder="1" applyAlignment="1">
      <alignment horizontal="center"/>
    </xf>
    <xf numFmtId="164" fontId="0" fillId="0" borderId="40" xfId="0" applyNumberFormat="1" applyBorder="1" applyAlignment="1">
      <alignment horizontal="right"/>
    </xf>
    <xf numFmtId="164" fontId="0" fillId="0" borderId="41" xfId="0" applyNumberFormat="1" applyBorder="1" applyAlignment="1">
      <alignment horizontal="center"/>
    </xf>
    <xf numFmtId="164" fontId="0" fillId="0" borderId="41" xfId="0" applyNumberFormat="1" applyBorder="1" applyAlignment="1">
      <alignment horizontal="right"/>
    </xf>
    <xf numFmtId="164" fontId="0" fillId="0" borderId="39" xfId="0" applyNumberFormat="1" applyBorder="1"/>
    <xf numFmtId="164" fontId="0" fillId="0" borderId="40" xfId="0" applyNumberFormat="1" applyBorder="1"/>
    <xf numFmtId="0" fontId="0" fillId="0" borderId="42" xfId="0" quotePrefix="1" applyBorder="1"/>
    <xf numFmtId="0" fontId="0" fillId="0" borderId="43" xfId="0" applyBorder="1" applyAlignment="1"/>
    <xf numFmtId="0" fontId="0" fillId="0" borderId="44" xfId="0" quotePrefix="1" applyBorder="1"/>
    <xf numFmtId="0" fontId="0" fillId="0" borderId="45" xfId="0" applyBorder="1" applyAlignment="1"/>
    <xf numFmtId="0" fontId="0" fillId="0" borderId="47" xfId="0" applyBorder="1" applyAlignment="1">
      <alignment horizontal="center"/>
    </xf>
    <xf numFmtId="164" fontId="0" fillId="0" borderId="43" xfId="0" applyNumberFormat="1" applyBorder="1"/>
    <xf numFmtId="164" fontId="0" fillId="0" borderId="45" xfId="0" applyNumberFormat="1" applyBorder="1"/>
    <xf numFmtId="0" fontId="0" fillId="0" borderId="43" xfId="0" applyBorder="1"/>
    <xf numFmtId="0" fontId="0" fillId="0" borderId="45" xfId="0" applyBorder="1"/>
    <xf numFmtId="0" fontId="1" fillId="0" borderId="0" xfId="0" applyFont="1" applyBorder="1" applyAlignment="1">
      <alignment horizontal="left"/>
    </xf>
    <xf numFmtId="0" fontId="1" fillId="0" borderId="0" xfId="0" applyFont="1" applyBorder="1" applyAlignment="1"/>
    <xf numFmtId="0" fontId="4" fillId="0" borderId="7" xfId="0" applyFont="1" applyBorder="1" applyAlignment="1">
      <alignment horizontal="center" vertical="center"/>
    </xf>
    <xf numFmtId="0" fontId="0" fillId="0" borderId="0" xfId="0" applyFont="1" applyProtection="1"/>
    <xf numFmtId="0" fontId="4" fillId="0" borderId="0" xfId="0" applyFont="1" applyProtection="1"/>
    <xf numFmtId="0" fontId="0" fillId="0" borderId="21" xfId="0" applyFont="1" applyBorder="1" applyAlignment="1" applyProtection="1">
      <alignment horizontal="center"/>
    </xf>
    <xf numFmtId="0" fontId="1" fillId="0" borderId="21" xfId="0" applyFont="1" applyBorder="1" applyAlignment="1" applyProtection="1">
      <alignment horizontal="center"/>
    </xf>
    <xf numFmtId="0" fontId="0" fillId="0" borderId="11" xfId="0" applyFont="1" applyBorder="1" applyProtection="1"/>
    <xf numFmtId="0" fontId="0" fillId="0" borderId="11" xfId="0" applyFont="1" applyBorder="1" applyProtection="1">
      <protection locked="0"/>
    </xf>
    <xf numFmtId="2" fontId="0" fillId="0" borderId="11" xfId="0" applyNumberFormat="1" applyFont="1" applyBorder="1" applyProtection="1">
      <protection locked="0"/>
    </xf>
    <xf numFmtId="165" fontId="0" fillId="0" borderId="11" xfId="0" applyNumberFormat="1" applyFont="1" applyBorder="1" applyProtection="1"/>
    <xf numFmtId="0" fontId="0" fillId="0" borderId="10" xfId="0" applyFont="1" applyBorder="1" applyProtection="1"/>
    <xf numFmtId="0" fontId="0" fillId="0" borderId="10" xfId="0" applyFont="1" applyBorder="1" applyProtection="1">
      <protection locked="0"/>
    </xf>
    <xf numFmtId="2" fontId="0" fillId="0" borderId="10" xfId="0" applyNumberFormat="1" applyFont="1" applyBorder="1" applyProtection="1">
      <protection locked="0"/>
    </xf>
    <xf numFmtId="165" fontId="0" fillId="0" borderId="10" xfId="0" applyNumberFormat="1" applyFont="1" applyBorder="1" applyProtection="1"/>
    <xf numFmtId="0" fontId="0" fillId="0" borderId="0" xfId="0" applyFont="1" applyBorder="1" applyProtection="1"/>
    <xf numFmtId="0" fontId="4" fillId="0" borderId="0" xfId="0" applyFont="1" applyBorder="1" applyProtection="1"/>
    <xf numFmtId="0" fontId="1" fillId="0" borderId="0" xfId="0" applyFont="1" applyBorder="1" applyAlignment="1" applyProtection="1"/>
    <xf numFmtId="0" fontId="0" fillId="0" borderId="0" xfId="0" applyFont="1" applyBorder="1" applyAlignment="1" applyProtection="1">
      <alignment horizontal="center"/>
    </xf>
    <xf numFmtId="0" fontId="0" fillId="0" borderId="17" xfId="0" applyFont="1" applyBorder="1" applyProtection="1"/>
    <xf numFmtId="165" fontId="0" fillId="0" borderId="18" xfId="0" applyNumberFormat="1" applyFont="1" applyBorder="1" applyProtection="1"/>
    <xf numFmtId="2" fontId="0" fillId="0" borderId="0" xfId="0" applyNumberFormat="1" applyFont="1" applyBorder="1" applyProtection="1"/>
    <xf numFmtId="165" fontId="0" fillId="0" borderId="0" xfId="0" applyNumberFormat="1" applyFont="1" applyBorder="1" applyProtection="1"/>
    <xf numFmtId="0" fontId="0" fillId="0" borderId="15" xfId="0" applyFont="1" applyBorder="1" applyProtection="1"/>
    <xf numFmtId="165" fontId="0" fillId="0" borderId="16" xfId="0" applyNumberFormat="1" applyFont="1" applyBorder="1" applyProtection="1"/>
    <xf numFmtId="0" fontId="0" fillId="0" borderId="23" xfId="0" applyFont="1" applyBorder="1" applyProtection="1"/>
    <xf numFmtId="0" fontId="0" fillId="0" borderId="24" xfId="0" applyFont="1" applyBorder="1" applyProtection="1">
      <protection locked="0"/>
    </xf>
    <xf numFmtId="2" fontId="0" fillId="0" borderId="24" xfId="0" applyNumberFormat="1" applyFont="1" applyBorder="1" applyProtection="1">
      <protection locked="0"/>
    </xf>
    <xf numFmtId="165" fontId="0" fillId="0" borderId="24" xfId="0" applyNumberFormat="1" applyFont="1" applyBorder="1" applyProtection="1"/>
    <xf numFmtId="165" fontId="0" fillId="0" borderId="25" xfId="0" applyNumberFormat="1" applyFont="1" applyBorder="1" applyProtection="1"/>
    <xf numFmtId="0" fontId="0" fillId="0" borderId="0" xfId="0" applyFont="1" applyBorder="1" applyProtection="1">
      <protection hidden="1"/>
    </xf>
    <xf numFmtId="0" fontId="11" fillId="0" borderId="0" xfId="0" applyFont="1" applyAlignment="1" applyProtection="1">
      <alignment vertical="center"/>
    </xf>
    <xf numFmtId="0" fontId="11" fillId="0" borderId="0" xfId="0" applyFont="1" applyProtection="1"/>
    <xf numFmtId="0" fontId="4" fillId="0" borderId="0" xfId="0" applyFont="1" applyAlignment="1" applyProtection="1">
      <alignment vertical="center"/>
    </xf>
    <xf numFmtId="0" fontId="4" fillId="0" borderId="21" xfId="0" applyFont="1" applyBorder="1" applyAlignment="1" applyProtection="1">
      <alignment horizontal="center" vertical="center"/>
    </xf>
    <xf numFmtId="0" fontId="11" fillId="0" borderId="12" xfId="0" applyFont="1" applyBorder="1" applyProtection="1"/>
    <xf numFmtId="0" fontId="11" fillId="0" borderId="13" xfId="0" applyFont="1" applyBorder="1" applyProtection="1">
      <protection locked="0"/>
    </xf>
    <xf numFmtId="165" fontId="0" fillId="0" borderId="13" xfId="0" applyNumberFormat="1" applyFont="1" applyBorder="1" applyProtection="1"/>
    <xf numFmtId="0" fontId="11" fillId="0" borderId="15" xfId="0" applyFont="1" applyBorder="1" applyProtection="1"/>
    <xf numFmtId="0" fontId="11" fillId="0" borderId="10" xfId="0" applyFont="1" applyBorder="1" applyProtection="1">
      <protection locked="0"/>
    </xf>
    <xf numFmtId="0" fontId="11" fillId="0" borderId="23" xfId="0" applyFont="1" applyBorder="1" applyProtection="1"/>
    <xf numFmtId="0" fontId="11" fillId="0" borderId="24" xfId="0" applyFont="1" applyBorder="1" applyProtection="1">
      <protection locked="0"/>
    </xf>
    <xf numFmtId="165" fontId="0" fillId="0" borderId="26" xfId="0" applyNumberFormat="1" applyFont="1" applyBorder="1" applyProtection="1"/>
    <xf numFmtId="165" fontId="4" fillId="0" borderId="0" xfId="0" applyNumberFormat="1" applyFont="1" applyBorder="1" applyProtection="1"/>
    <xf numFmtId="0" fontId="4" fillId="0" borderId="0" xfId="0" applyFont="1" applyBorder="1" applyAlignment="1" applyProtection="1">
      <alignment vertical="center"/>
    </xf>
    <xf numFmtId="0" fontId="11" fillId="0" borderId="0" xfId="0" applyFont="1" applyBorder="1" applyAlignment="1" applyProtection="1">
      <alignment vertical="center"/>
    </xf>
    <xf numFmtId="0" fontId="11" fillId="0" borderId="0" xfId="0" applyFont="1" applyBorder="1" applyProtection="1"/>
    <xf numFmtId="0" fontId="4" fillId="0" borderId="21" xfId="0" applyFont="1" applyBorder="1" applyAlignment="1" applyProtection="1">
      <alignment vertical="center"/>
    </xf>
    <xf numFmtId="165" fontId="0" fillId="0" borderId="13" xfId="0" applyNumberFormat="1" applyFont="1" applyBorder="1" applyAlignment="1" applyProtection="1"/>
    <xf numFmtId="165" fontId="0" fillId="0" borderId="14" xfId="0" applyNumberFormat="1" applyFont="1" applyBorder="1" applyAlignment="1" applyProtection="1"/>
    <xf numFmtId="0" fontId="11" fillId="0" borderId="11" xfId="0" applyFont="1" applyBorder="1" applyProtection="1">
      <protection locked="0"/>
    </xf>
    <xf numFmtId="165" fontId="0" fillId="0" borderId="10" xfId="0" applyNumberFormat="1" applyFont="1" applyBorder="1" applyAlignment="1" applyProtection="1"/>
    <xf numFmtId="165" fontId="0" fillId="0" borderId="16" xfId="0" applyNumberFormat="1" applyFont="1" applyBorder="1" applyAlignment="1" applyProtection="1"/>
    <xf numFmtId="0" fontId="11" fillId="0" borderId="26" xfId="0" applyFont="1" applyBorder="1" applyProtection="1">
      <protection locked="0"/>
    </xf>
    <xf numFmtId="165" fontId="0" fillId="0" borderId="24" xfId="0" applyNumberFormat="1" applyFont="1" applyBorder="1" applyAlignment="1" applyProtection="1"/>
    <xf numFmtId="165" fontId="0" fillId="0" borderId="25" xfId="0" applyNumberFormat="1" applyFont="1" applyBorder="1" applyAlignment="1" applyProtection="1"/>
    <xf numFmtId="0" fontId="4" fillId="0" borderId="21" xfId="0" applyFont="1" applyBorder="1" applyProtection="1"/>
    <xf numFmtId="165" fontId="0" fillId="0" borderId="14" xfId="0" applyNumberFormat="1" applyFont="1" applyBorder="1" applyProtection="1"/>
    <xf numFmtId="0" fontId="11" fillId="0" borderId="49" xfId="0" applyFont="1" applyBorder="1" applyProtection="1"/>
    <xf numFmtId="0" fontId="11" fillId="0" borderId="7" xfId="0" applyFont="1" applyBorder="1" applyProtection="1">
      <protection locked="0"/>
    </xf>
    <xf numFmtId="165" fontId="0" fillId="0" borderId="6" xfId="0" applyNumberFormat="1" applyFont="1" applyBorder="1" applyProtection="1"/>
    <xf numFmtId="165" fontId="0" fillId="0" borderId="7" xfId="0" applyNumberFormat="1" applyFont="1" applyBorder="1" applyProtection="1"/>
    <xf numFmtId="165" fontId="0" fillId="0" borderId="50" xfId="0" applyNumberFormat="1" applyFont="1" applyBorder="1" applyProtection="1"/>
    <xf numFmtId="165" fontId="4" fillId="0" borderId="25" xfId="0" applyNumberFormat="1" applyFont="1" applyBorder="1" applyProtection="1"/>
    <xf numFmtId="0" fontId="11" fillId="0" borderId="20" xfId="0" applyFont="1" applyBorder="1" applyProtection="1"/>
    <xf numFmtId="165" fontId="0" fillId="0" borderId="29" xfId="0" applyNumberFormat="1" applyFont="1" applyBorder="1" applyProtection="1"/>
    <xf numFmtId="0" fontId="11" fillId="0" borderId="27" xfId="0" applyFont="1" applyBorder="1" applyProtection="1"/>
    <xf numFmtId="165" fontId="0" fillId="0" borderId="30" xfId="0" applyNumberFormat="1" applyFont="1" applyBorder="1" applyProtection="1"/>
    <xf numFmtId="0" fontId="11" fillId="0" borderId="28" xfId="0" applyFont="1" applyBorder="1" applyProtection="1"/>
    <xf numFmtId="165" fontId="0" fillId="0" borderId="31" xfId="0" applyNumberFormat="1" applyFont="1" applyBorder="1" applyProtection="1"/>
    <xf numFmtId="0" fontId="4" fillId="0" borderId="12" xfId="0" applyFont="1" applyBorder="1" applyAlignment="1" applyProtection="1">
      <alignment horizontal="center" vertical="center"/>
    </xf>
    <xf numFmtId="0" fontId="4" fillId="0" borderId="13" xfId="0" applyFont="1" applyBorder="1" applyAlignment="1" applyProtection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4" xfId="0" applyFont="1" applyBorder="1" applyAlignment="1" applyProtection="1">
      <alignment horizontal="center" vertical="center"/>
    </xf>
    <xf numFmtId="0" fontId="4" fillId="0" borderId="12" xfId="0" applyFont="1" applyBorder="1" applyProtection="1"/>
    <xf numFmtId="0" fontId="4" fillId="0" borderId="13" xfId="0" applyFont="1" applyBorder="1" applyProtection="1"/>
    <xf numFmtId="0" fontId="4" fillId="0" borderId="13" xfId="0" applyFont="1" applyBorder="1" applyAlignment="1" applyProtection="1">
      <alignment horizontal="center"/>
    </xf>
    <xf numFmtId="0" fontId="4" fillId="0" borderId="13" xfId="0" applyFont="1" applyBorder="1"/>
    <xf numFmtId="0" fontId="4" fillId="0" borderId="22" xfId="0" applyFont="1" applyBorder="1" applyAlignment="1" applyProtection="1">
      <alignment horizontal="center" vertical="center"/>
    </xf>
    <xf numFmtId="0" fontId="11" fillId="0" borderId="0" xfId="0" applyFont="1"/>
    <xf numFmtId="0" fontId="0" fillId="0" borderId="15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4" xfId="0" applyBorder="1"/>
    <xf numFmtId="0" fontId="0" fillId="0" borderId="24" xfId="0" applyBorder="1" applyAlignment="1">
      <alignment horizontal="center" vertical="center"/>
    </xf>
    <xf numFmtId="0" fontId="0" fillId="0" borderId="24" xfId="0" applyFill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1" xfId="0" applyBorder="1"/>
    <xf numFmtId="0" fontId="1" fillId="0" borderId="55" xfId="0" applyFont="1" applyBorder="1"/>
    <xf numFmtId="0" fontId="1" fillId="0" borderId="58" xfId="0" applyFont="1" applyBorder="1"/>
    <xf numFmtId="0" fontId="1" fillId="0" borderId="54" xfId="0" applyFont="1" applyBorder="1"/>
    <xf numFmtId="0" fontId="16" fillId="2" borderId="0" xfId="0" applyFont="1" applyFill="1"/>
    <xf numFmtId="164" fontId="0" fillId="0" borderId="39" xfId="0" applyNumberFormat="1" applyBorder="1" applyAlignment="1">
      <alignment horizontal="center"/>
    </xf>
    <xf numFmtId="0" fontId="1" fillId="0" borderId="34" xfId="0" applyFont="1" applyBorder="1" applyAlignment="1">
      <alignment horizontal="center" vertical="center"/>
    </xf>
    <xf numFmtId="0" fontId="1" fillId="0" borderId="21" xfId="0" applyFont="1" applyBorder="1" applyAlignment="1" applyProtection="1">
      <alignment horizontal="center"/>
    </xf>
    <xf numFmtId="0" fontId="1" fillId="0" borderId="9" xfId="0" quotePrefix="1" applyFont="1" applyBorder="1"/>
    <xf numFmtId="0" fontId="1" fillId="0" borderId="9" xfId="0" applyFont="1" applyBorder="1"/>
    <xf numFmtId="164" fontId="1" fillId="0" borderId="9" xfId="0" applyNumberFormat="1" applyFont="1" applyBorder="1" applyAlignment="1">
      <alignment horizontal="center"/>
    </xf>
    <xf numFmtId="164" fontId="1" fillId="0" borderId="9" xfId="0" applyNumberFormat="1" applyFont="1" applyBorder="1" applyAlignment="1">
      <alignment horizontal="center" vertical="center"/>
    </xf>
    <xf numFmtId="0" fontId="0" fillId="0" borderId="21" xfId="0" applyFont="1" applyBorder="1" applyAlignment="1" applyProtection="1">
      <alignment horizontal="center"/>
    </xf>
    <xf numFmtId="0" fontId="1" fillId="0" borderId="21" xfId="0" applyFont="1" applyBorder="1" applyAlignment="1" applyProtection="1">
      <alignment horizontal="center"/>
    </xf>
    <xf numFmtId="166" fontId="1" fillId="2" borderId="10" xfId="0" applyNumberFormat="1" applyFont="1" applyFill="1" applyBorder="1" applyAlignment="1">
      <alignment horizontal="center" vertical="top" wrapText="1"/>
    </xf>
    <xf numFmtId="165" fontId="0" fillId="0" borderId="53" xfId="0" applyNumberFormat="1" applyFont="1" applyBorder="1" applyProtection="1"/>
    <xf numFmtId="165" fontId="0" fillId="0" borderId="60" xfId="0" applyNumberFormat="1" applyFont="1" applyBorder="1" applyProtection="1"/>
    <xf numFmtId="165" fontId="0" fillId="0" borderId="61" xfId="0" applyNumberFormat="1" applyFont="1" applyBorder="1" applyProtection="1"/>
    <xf numFmtId="165" fontId="0" fillId="0" borderId="62" xfId="0" applyNumberFormat="1" applyFont="1" applyBorder="1" applyProtection="1"/>
    <xf numFmtId="2" fontId="0" fillId="0" borderId="13" xfId="0" applyNumberFormat="1" applyFont="1" applyBorder="1" applyProtection="1">
      <protection locked="0"/>
    </xf>
    <xf numFmtId="0" fontId="0" fillId="0" borderId="53" xfId="0" applyFont="1" applyBorder="1" applyProtection="1">
      <protection locked="0"/>
    </xf>
    <xf numFmtId="164" fontId="0" fillId="0" borderId="59" xfId="0" applyNumberFormat="1" applyFont="1" applyBorder="1" applyProtection="1"/>
    <xf numFmtId="0" fontId="11" fillId="0" borderId="39" xfId="0" quotePrefix="1" applyNumberFormat="1" applyFont="1" applyBorder="1" applyAlignment="1">
      <alignment horizontal="center" vertical="center"/>
    </xf>
    <xf numFmtId="164" fontId="0" fillId="0" borderId="39" xfId="0" applyNumberFormat="1" applyFont="1" applyBorder="1"/>
    <xf numFmtId="0" fontId="11" fillId="0" borderId="66" xfId="0" quotePrefix="1" applyNumberFormat="1" applyFont="1" applyBorder="1" applyAlignment="1">
      <alignment horizontal="center" vertical="center"/>
    </xf>
    <xf numFmtId="164" fontId="1" fillId="0" borderId="66" xfId="0" applyNumberFormat="1" applyFont="1" applyBorder="1"/>
    <xf numFmtId="0" fontId="0" fillId="0" borderId="67" xfId="0" applyBorder="1"/>
    <xf numFmtId="0" fontId="1" fillId="0" borderId="53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2" fontId="0" fillId="0" borderId="40" xfId="0" applyNumberFormat="1" applyFont="1" applyBorder="1" applyAlignment="1">
      <alignment horizontal="right" vertical="center"/>
    </xf>
    <xf numFmtId="2" fontId="0" fillId="0" borderId="39" xfId="0" applyNumberFormat="1" applyFont="1" applyBorder="1" applyAlignment="1">
      <alignment horizontal="right" vertical="center"/>
    </xf>
    <xf numFmtId="2" fontId="0" fillId="0" borderId="73" xfId="0" applyNumberFormat="1" applyFont="1" applyBorder="1" applyAlignment="1">
      <alignment horizontal="right" vertical="center"/>
    </xf>
    <xf numFmtId="0" fontId="0" fillId="0" borderId="74" xfId="0" applyBorder="1"/>
    <xf numFmtId="0" fontId="11" fillId="0" borderId="76" xfId="0" quotePrefix="1" applyNumberFormat="1" applyFont="1" applyBorder="1" applyAlignment="1">
      <alignment horizontal="center" vertical="center"/>
    </xf>
    <xf numFmtId="164" fontId="0" fillId="0" borderId="76" xfId="0" applyNumberFormat="1" applyBorder="1"/>
    <xf numFmtId="0" fontId="0" fillId="0" borderId="77" xfId="0" applyBorder="1"/>
    <xf numFmtId="0" fontId="0" fillId="0" borderId="42" xfId="0" quotePrefix="1" applyFont="1" applyBorder="1" applyAlignment="1">
      <alignment horizontal="center" vertical="center" wrapText="1"/>
    </xf>
    <xf numFmtId="0" fontId="0" fillId="0" borderId="40" xfId="0" applyFont="1" applyBorder="1" applyAlignment="1">
      <alignment horizontal="center" vertical="center"/>
    </xf>
    <xf numFmtId="0" fontId="0" fillId="0" borderId="44" xfId="0" quotePrefix="1" applyFont="1" applyBorder="1" applyAlignment="1">
      <alignment horizontal="center" vertical="center" wrapText="1"/>
    </xf>
    <xf numFmtId="0" fontId="0" fillId="0" borderId="39" xfId="0" applyFont="1" applyBorder="1" applyAlignment="1">
      <alignment horizontal="center" vertical="center"/>
    </xf>
    <xf numFmtId="164" fontId="0" fillId="0" borderId="39" xfId="0" applyNumberFormat="1" applyFont="1" applyBorder="1" applyAlignment="1">
      <alignment horizontal="center"/>
    </xf>
    <xf numFmtId="164" fontId="0" fillId="0" borderId="73" xfId="0" applyNumberFormat="1" applyFont="1" applyBorder="1" applyAlignment="1">
      <alignment horizontal="center"/>
    </xf>
    <xf numFmtId="2" fontId="0" fillId="0" borderId="59" xfId="0" applyNumberFormat="1" applyFont="1" applyBorder="1" applyProtection="1">
      <protection locked="0"/>
    </xf>
    <xf numFmtId="2" fontId="0" fillId="0" borderId="19" xfId="0" applyNumberFormat="1" applyFont="1" applyBorder="1" applyProtection="1">
      <protection locked="0"/>
    </xf>
    <xf numFmtId="2" fontId="0" fillId="0" borderId="83" xfId="0" applyNumberFormat="1" applyFont="1" applyBorder="1" applyProtection="1">
      <protection locked="0"/>
    </xf>
    <xf numFmtId="2" fontId="0" fillId="0" borderId="29" xfId="0" applyNumberFormat="1" applyFont="1" applyBorder="1" applyProtection="1">
      <protection locked="0"/>
    </xf>
    <xf numFmtId="2" fontId="0" fillId="0" borderId="84" xfId="0" applyNumberFormat="1" applyFont="1" applyBorder="1" applyProtection="1">
      <protection locked="0"/>
    </xf>
    <xf numFmtId="2" fontId="0" fillId="0" borderId="85" xfId="0" applyNumberFormat="1" applyFont="1" applyBorder="1" applyProtection="1">
      <protection locked="0"/>
    </xf>
    <xf numFmtId="0" fontId="0" fillId="0" borderId="54" xfId="0" applyFont="1" applyBorder="1" applyAlignment="1" applyProtection="1">
      <alignment horizontal="center"/>
    </xf>
    <xf numFmtId="0" fontId="0" fillId="0" borderId="57" xfId="0" applyFont="1" applyBorder="1" applyAlignment="1" applyProtection="1">
      <alignment horizontal="center"/>
    </xf>
    <xf numFmtId="0" fontId="1" fillId="0" borderId="10" xfId="0" applyFont="1" applyBorder="1" applyAlignment="1" applyProtection="1">
      <alignment horizontal="center"/>
    </xf>
    <xf numFmtId="0" fontId="0" fillId="0" borderId="60" xfId="0" applyFont="1" applyBorder="1" applyProtection="1">
      <protection locked="0"/>
    </xf>
    <xf numFmtId="0" fontId="0" fillId="0" borderId="10" xfId="0" applyFont="1" applyBorder="1" applyAlignment="1" applyProtection="1">
      <alignment horizontal="center"/>
    </xf>
    <xf numFmtId="0" fontId="1" fillId="0" borderId="16" xfId="0" applyFont="1" applyBorder="1" applyAlignment="1" applyProtection="1">
      <alignment horizontal="center"/>
    </xf>
    <xf numFmtId="0" fontId="0" fillId="0" borderId="12" xfId="0" applyFont="1" applyBorder="1" applyAlignment="1" applyProtection="1">
      <alignment horizontal="center" vertical="center"/>
      <protection locked="0"/>
    </xf>
    <xf numFmtId="0" fontId="0" fillId="0" borderId="15" xfId="0" applyFont="1" applyBorder="1" applyAlignment="1" applyProtection="1">
      <alignment horizontal="center" vertical="center"/>
      <protection locked="0"/>
    </xf>
    <xf numFmtId="0" fontId="0" fillId="0" borderId="23" xfId="0" applyFont="1" applyBorder="1" applyAlignment="1" applyProtection="1">
      <alignment horizontal="center" vertical="center"/>
      <protection locked="0"/>
    </xf>
    <xf numFmtId="0" fontId="0" fillId="0" borderId="0" xfId="0" applyFont="1" applyBorder="1" applyAlignment="1" applyProtection="1">
      <alignment horizontal="center" vertical="center"/>
    </xf>
    <xf numFmtId="0" fontId="0" fillId="0" borderId="11" xfId="0" applyFont="1" applyBorder="1" applyAlignment="1" applyProtection="1">
      <alignment horizontal="center" vertical="center"/>
      <protection locked="0"/>
    </xf>
    <xf numFmtId="0" fontId="0" fillId="0" borderId="10" xfId="0" applyFont="1" applyBorder="1" applyAlignment="1" applyProtection="1">
      <alignment horizontal="center" vertical="center"/>
      <protection locked="0"/>
    </xf>
    <xf numFmtId="0" fontId="0" fillId="0" borderId="24" xfId="0" applyFont="1" applyBorder="1" applyAlignment="1" applyProtection="1">
      <alignment horizontal="center" vertical="center"/>
      <protection locked="0"/>
    </xf>
    <xf numFmtId="0" fontId="4" fillId="0" borderId="0" xfId="0" applyFont="1" applyBorder="1" applyAlignment="1" applyProtection="1">
      <alignment horizontal="center" vertical="center"/>
    </xf>
    <xf numFmtId="0" fontId="22" fillId="0" borderId="21" xfId="0" applyFont="1" applyBorder="1" applyAlignment="1" applyProtection="1">
      <alignment horizontal="center" vertical="center"/>
    </xf>
    <xf numFmtId="0" fontId="22" fillId="0" borderId="13" xfId="0" applyFont="1" applyBorder="1" applyAlignment="1" applyProtection="1">
      <alignment horizontal="center" vertical="center"/>
    </xf>
    <xf numFmtId="0" fontId="22" fillId="0" borderId="22" xfId="0" applyFont="1" applyBorder="1" applyAlignment="1" applyProtection="1">
      <alignment horizontal="center" vertical="center"/>
    </xf>
    <xf numFmtId="0" fontId="22" fillId="0" borderId="13" xfId="0" applyFont="1" applyBorder="1" applyAlignment="1" applyProtection="1">
      <alignment horizontal="center"/>
    </xf>
    <xf numFmtId="0" fontId="1" fillId="0" borderId="40" xfId="0" applyFont="1" applyBorder="1"/>
    <xf numFmtId="0" fontId="1" fillId="0" borderId="39" xfId="0" applyFont="1" applyBorder="1"/>
    <xf numFmtId="0" fontId="1" fillId="0" borderId="40" xfId="0" applyFont="1" applyBorder="1" applyAlignment="1">
      <alignment horizontal="center" vertical="center"/>
    </xf>
    <xf numFmtId="0" fontId="1" fillId="0" borderId="39" xfId="0" applyFont="1" applyBorder="1" applyAlignment="1">
      <alignment horizontal="center" vertical="center"/>
    </xf>
    <xf numFmtId="0" fontId="1" fillId="0" borderId="39" xfId="0" quotePrefix="1" applyFont="1" applyBorder="1" applyAlignment="1">
      <alignment horizontal="center"/>
    </xf>
    <xf numFmtId="0" fontId="1" fillId="0" borderId="37" xfId="0" applyFont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25" xfId="0" applyFont="1" applyBorder="1" applyProtection="1">
      <protection locked="0"/>
    </xf>
    <xf numFmtId="0" fontId="4" fillId="0" borderId="44" xfId="0" quotePrefix="1" applyNumberFormat="1" applyFont="1" applyBorder="1" applyAlignment="1">
      <alignment horizontal="left" vertical="center"/>
    </xf>
    <xf numFmtId="0" fontId="4" fillId="0" borderId="39" xfId="0" quotePrefix="1" applyNumberFormat="1" applyFont="1" applyBorder="1" applyAlignment="1">
      <alignment horizontal="left" vertical="center"/>
    </xf>
    <xf numFmtId="0" fontId="23" fillId="0" borderId="0" xfId="0" applyFont="1" applyAlignment="1">
      <alignment horizontal="center" vertical="center"/>
    </xf>
    <xf numFmtId="0" fontId="0" fillId="0" borderId="0" xfId="0" applyAlignment="1">
      <alignment horizontal="left"/>
    </xf>
    <xf numFmtId="0" fontId="1" fillId="0" borderId="35" xfId="0" applyFont="1" applyBorder="1" applyAlignment="1">
      <alignment horizontal="center" vertical="center" wrapText="1"/>
    </xf>
    <xf numFmtId="0" fontId="1" fillId="0" borderId="36" xfId="0" applyFont="1" applyBorder="1" applyAlignment="1">
      <alignment horizontal="center" vertical="center" wrapText="1"/>
    </xf>
    <xf numFmtId="164" fontId="0" fillId="0" borderId="40" xfId="0" applyNumberFormat="1" applyBorder="1" applyAlignment="1">
      <alignment horizontal="center"/>
    </xf>
    <xf numFmtId="164" fontId="0" fillId="0" borderId="39" xfId="0" applyNumberFormat="1" applyBorder="1" applyAlignment="1">
      <alignment horizontal="center"/>
    </xf>
    <xf numFmtId="0" fontId="1" fillId="0" borderId="10" xfId="0" applyFont="1" applyBorder="1" applyAlignment="1">
      <alignment horizontal="center" vertical="center"/>
    </xf>
    <xf numFmtId="0" fontId="1" fillId="0" borderId="34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 wrapText="1"/>
    </xf>
    <xf numFmtId="0" fontId="0" fillId="0" borderId="46" xfId="0" quotePrefix="1" applyBorder="1" applyAlignment="1">
      <alignment horizontal="center"/>
    </xf>
    <xf numFmtId="0" fontId="0" fillId="0" borderId="41" xfId="0" quotePrefix="1" applyBorder="1" applyAlignment="1">
      <alignment horizontal="center"/>
    </xf>
    <xf numFmtId="164" fontId="0" fillId="0" borderId="41" xfId="0" applyNumberFormat="1" applyBorder="1" applyAlignment="1">
      <alignment horizontal="center"/>
    </xf>
    <xf numFmtId="0" fontId="0" fillId="0" borderId="40" xfId="0" applyFont="1" applyBorder="1" applyAlignment="1">
      <alignment horizontal="center" vertical="center" wrapText="1"/>
    </xf>
    <xf numFmtId="0" fontId="4" fillId="0" borderId="65" xfId="0" quotePrefix="1" applyNumberFormat="1" applyFont="1" applyBorder="1" applyAlignment="1">
      <alignment horizontal="left" vertical="center"/>
    </xf>
    <xf numFmtId="0" fontId="4" fillId="0" borderId="66" xfId="0" quotePrefix="1" applyNumberFormat="1" applyFont="1" applyBorder="1" applyAlignment="1">
      <alignment horizontal="left" vertical="center"/>
    </xf>
    <xf numFmtId="0" fontId="1" fillId="0" borderId="63" xfId="0" applyFont="1" applyBorder="1" applyAlignment="1">
      <alignment horizontal="center" vertical="center" wrapText="1"/>
    </xf>
    <xf numFmtId="0" fontId="1" fillId="0" borderId="64" xfId="0" applyFont="1" applyBorder="1" applyAlignment="1">
      <alignment horizontal="center" vertical="center" wrapText="1"/>
    </xf>
    <xf numFmtId="0" fontId="1" fillId="0" borderId="78" xfId="0" applyFont="1" applyBorder="1" applyAlignment="1">
      <alignment horizontal="center" vertical="center" wrapText="1"/>
    </xf>
    <xf numFmtId="0" fontId="1" fillId="0" borderId="79" xfId="0" applyFont="1" applyBorder="1" applyAlignment="1">
      <alignment horizontal="center" vertical="center" wrapText="1"/>
    </xf>
    <xf numFmtId="0" fontId="19" fillId="0" borderId="0" xfId="0" applyFont="1" applyAlignment="1">
      <alignment horizontal="center" vertical="center"/>
    </xf>
    <xf numFmtId="0" fontId="24" fillId="0" borderId="0" xfId="0" applyFont="1" applyBorder="1" applyAlignment="1">
      <alignment horizontal="center" vertical="center"/>
    </xf>
    <xf numFmtId="0" fontId="4" fillId="0" borderId="12" xfId="0" applyFont="1" applyBorder="1" applyAlignment="1">
      <alignment horizontal="left" vertical="center"/>
    </xf>
    <xf numFmtId="0" fontId="4" fillId="0" borderId="13" xfId="0" applyFont="1" applyBorder="1" applyAlignment="1">
      <alignment horizontal="left" vertical="center"/>
    </xf>
    <xf numFmtId="0" fontId="4" fillId="0" borderId="14" xfId="0" applyFont="1" applyBorder="1" applyAlignment="1">
      <alignment horizontal="left" vertical="center"/>
    </xf>
    <xf numFmtId="0" fontId="4" fillId="0" borderId="17" xfId="0" applyFont="1" applyBorder="1" applyAlignment="1">
      <alignment horizontal="left" vertical="center"/>
    </xf>
    <xf numFmtId="0" fontId="4" fillId="0" borderId="11" xfId="0" applyFont="1" applyBorder="1" applyAlignment="1">
      <alignment horizontal="left" vertical="center"/>
    </xf>
    <xf numFmtId="0" fontId="4" fillId="0" borderId="18" xfId="0" applyFont="1" applyBorder="1" applyAlignment="1">
      <alignment horizontal="left" vertical="center"/>
    </xf>
    <xf numFmtId="0" fontId="0" fillId="0" borderId="39" xfId="0" applyBorder="1" applyAlignment="1">
      <alignment horizontal="center"/>
    </xf>
    <xf numFmtId="0" fontId="0" fillId="0" borderId="40" xfId="0" applyBorder="1" applyAlignment="1">
      <alignment horizontal="center"/>
    </xf>
    <xf numFmtId="0" fontId="4" fillId="0" borderId="0" xfId="0" applyFont="1" applyBorder="1" applyAlignment="1">
      <alignment horizontal="left"/>
    </xf>
    <xf numFmtId="0" fontId="1" fillId="0" borderId="15" xfId="0" applyFont="1" applyBorder="1" applyAlignment="1">
      <alignment horizontal="center" vertical="center" wrapText="1"/>
    </xf>
    <xf numFmtId="0" fontId="1" fillId="0" borderId="33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left"/>
    </xf>
    <xf numFmtId="0" fontId="4" fillId="0" borderId="75" xfId="0" quotePrefix="1" applyNumberFormat="1" applyFont="1" applyBorder="1" applyAlignment="1">
      <alignment horizontal="left" vertical="center"/>
    </xf>
    <xf numFmtId="0" fontId="4" fillId="0" borderId="76" xfId="0" quotePrefix="1" applyNumberFormat="1" applyFont="1" applyBorder="1" applyAlignment="1">
      <alignment horizontal="left" vertical="center"/>
    </xf>
    <xf numFmtId="0" fontId="0" fillId="0" borderId="44" xfId="0" quotePrefix="1" applyBorder="1" applyAlignment="1">
      <alignment horizontal="center"/>
    </xf>
    <xf numFmtId="0" fontId="0" fillId="0" borderId="39" xfId="0" quotePrefix="1" applyBorder="1" applyAlignment="1">
      <alignment horizontal="center"/>
    </xf>
    <xf numFmtId="0" fontId="4" fillId="0" borderId="0" xfId="0" applyFont="1" applyBorder="1" applyAlignment="1">
      <alignment horizontal="left" vertical="center"/>
    </xf>
    <xf numFmtId="0" fontId="1" fillId="0" borderId="0" xfId="0" applyFont="1" applyBorder="1" applyAlignment="1">
      <alignment horizontal="left" vertical="center"/>
    </xf>
    <xf numFmtId="0" fontId="1" fillId="0" borderId="0" xfId="0" applyFont="1" applyBorder="1" applyAlignment="1">
      <alignment horizontal="left" vertical="center" wrapText="1"/>
    </xf>
    <xf numFmtId="0" fontId="0" fillId="0" borderId="82" xfId="0" applyBorder="1" applyAlignment="1">
      <alignment horizontal="center"/>
    </xf>
    <xf numFmtId="0" fontId="0" fillId="0" borderId="71" xfId="0" applyBorder="1" applyAlignment="1">
      <alignment horizontal="center"/>
    </xf>
    <xf numFmtId="0" fontId="0" fillId="0" borderId="39" xfId="0" applyFont="1" applyBorder="1" applyAlignment="1">
      <alignment horizontal="center" vertical="center" wrapText="1"/>
    </xf>
    <xf numFmtId="2" fontId="0" fillId="0" borderId="40" xfId="0" applyNumberFormat="1" applyBorder="1" applyAlignment="1">
      <alignment horizontal="center"/>
    </xf>
    <xf numFmtId="0" fontId="4" fillId="0" borderId="68" xfId="0" applyFont="1" applyBorder="1" applyAlignment="1">
      <alignment horizontal="left" vertical="center"/>
    </xf>
    <xf numFmtId="0" fontId="4" fillId="0" borderId="69" xfId="0" applyFont="1" applyBorder="1" applyAlignment="1">
      <alignment horizontal="left" vertical="center"/>
    </xf>
    <xf numFmtId="0" fontId="4" fillId="0" borderId="70" xfId="0" applyFont="1" applyBorder="1" applyAlignment="1">
      <alignment horizontal="left" vertical="center"/>
    </xf>
    <xf numFmtId="0" fontId="1" fillId="0" borderId="17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/>
    </xf>
    <xf numFmtId="0" fontId="0" fillId="0" borderId="72" xfId="0" quotePrefix="1" applyFont="1" applyBorder="1" applyAlignment="1">
      <alignment horizontal="center"/>
    </xf>
    <xf numFmtId="0" fontId="0" fillId="0" borderId="73" xfId="0" quotePrefix="1" applyFont="1" applyBorder="1" applyAlignment="1">
      <alignment horizontal="center"/>
    </xf>
    <xf numFmtId="0" fontId="0" fillId="0" borderId="80" xfId="0" applyFont="1" applyBorder="1" applyAlignment="1">
      <alignment horizontal="center" vertical="center" wrapText="1"/>
    </xf>
    <xf numFmtId="0" fontId="0" fillId="0" borderId="81" xfId="0" applyFont="1" applyBorder="1" applyAlignment="1">
      <alignment horizontal="center" vertical="center" wrapText="1"/>
    </xf>
    <xf numFmtId="0" fontId="18" fillId="0" borderId="0" xfId="0" applyFont="1" applyAlignment="1" applyProtection="1">
      <alignment horizontal="center" vertical="center"/>
    </xf>
    <xf numFmtId="0" fontId="4" fillId="0" borderId="0" xfId="0" applyFont="1" applyBorder="1" applyAlignment="1" applyProtection="1">
      <alignment horizontal="right" vertical="center"/>
    </xf>
    <xf numFmtId="0" fontId="21" fillId="0" borderId="13" xfId="0" applyFont="1" applyBorder="1" applyAlignment="1" applyProtection="1">
      <alignment horizontal="center"/>
    </xf>
    <xf numFmtId="0" fontId="21" fillId="0" borderId="14" xfId="0" applyFont="1" applyBorder="1" applyAlignment="1" applyProtection="1">
      <alignment horizontal="center"/>
    </xf>
    <xf numFmtId="0" fontId="0" fillId="0" borderId="21" xfId="0" applyFont="1" applyBorder="1" applyAlignment="1" applyProtection="1">
      <alignment horizontal="center" vertical="center"/>
    </xf>
    <xf numFmtId="0" fontId="21" fillId="0" borderId="21" xfId="0" applyFont="1" applyBorder="1" applyAlignment="1" applyProtection="1">
      <alignment horizontal="center" vertical="center"/>
    </xf>
    <xf numFmtId="0" fontId="21" fillId="0" borderId="21" xfId="0" applyFont="1" applyBorder="1" applyAlignment="1" applyProtection="1">
      <alignment horizontal="center"/>
    </xf>
    <xf numFmtId="0" fontId="0" fillId="0" borderId="12" xfId="0" applyFont="1" applyBorder="1" applyAlignment="1" applyProtection="1">
      <alignment horizontal="center" vertical="center"/>
    </xf>
    <xf numFmtId="0" fontId="0" fillId="0" borderId="15" xfId="0" applyFont="1" applyBorder="1" applyAlignment="1" applyProtection="1">
      <alignment horizontal="center" vertical="center"/>
    </xf>
    <xf numFmtId="0" fontId="21" fillId="0" borderId="13" xfId="0" applyFont="1" applyBorder="1" applyAlignment="1" applyProtection="1">
      <alignment horizontal="center" vertical="center"/>
    </xf>
    <xf numFmtId="0" fontId="21" fillId="0" borderId="10" xfId="0" applyFont="1" applyBorder="1" applyAlignment="1" applyProtection="1">
      <alignment horizontal="center" vertical="center"/>
    </xf>
    <xf numFmtId="0" fontId="16" fillId="0" borderId="21" xfId="0" applyFont="1" applyBorder="1" applyAlignment="1" applyProtection="1">
      <alignment horizontal="center" vertical="center"/>
    </xf>
    <xf numFmtId="0" fontId="21" fillId="0" borderId="22" xfId="0" applyFont="1" applyBorder="1" applyAlignment="1" applyProtection="1">
      <alignment horizontal="center"/>
    </xf>
    <xf numFmtId="0" fontId="4" fillId="0" borderId="23" xfId="0" applyFont="1" applyBorder="1" applyAlignment="1" applyProtection="1">
      <alignment horizontal="right" vertical="center"/>
    </xf>
    <xf numFmtId="0" fontId="4" fillId="0" borderId="24" xfId="0" applyFont="1" applyBorder="1" applyAlignment="1" applyProtection="1">
      <alignment horizontal="right" vertical="center"/>
    </xf>
    <xf numFmtId="0" fontId="18" fillId="0" borderId="48" xfId="0" applyFont="1" applyBorder="1" applyAlignment="1" applyProtection="1">
      <alignment horizontal="center" vertical="center"/>
    </xf>
    <xf numFmtId="0" fontId="0" fillId="0" borderId="51" xfId="0" applyBorder="1" applyAlignment="1">
      <alignment horizontal="center" vertical="center"/>
    </xf>
    <xf numFmtId="0" fontId="0" fillId="0" borderId="52" xfId="0" applyBorder="1" applyAlignment="1">
      <alignment horizontal="center" vertical="center"/>
    </xf>
    <xf numFmtId="0" fontId="1" fillId="0" borderId="56" xfId="0" applyFont="1" applyBorder="1" applyAlignment="1">
      <alignment horizontal="center"/>
    </xf>
    <xf numFmtId="0" fontId="1" fillId="0" borderId="57" xfId="0" applyFont="1" applyBorder="1" applyAlignment="1">
      <alignment horizontal="center"/>
    </xf>
    <xf numFmtId="0" fontId="0" fillId="0" borderId="17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/>
    </xf>
    <xf numFmtId="0" fontId="0" fillId="0" borderId="53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11" fillId="0" borderId="0" xfId="0" applyFont="1" applyAlignment="1">
      <alignment horizontal="center"/>
    </xf>
    <xf numFmtId="0" fontId="4" fillId="0" borderId="10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20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/>
  </sheetPr>
  <dimension ref="A1:K58"/>
  <sheetViews>
    <sheetView view="pageBreakPreview" zoomScaleNormal="100" zoomScaleSheetLayoutView="100" workbookViewId="0">
      <selection activeCell="E49" sqref="E49"/>
    </sheetView>
  </sheetViews>
  <sheetFormatPr defaultRowHeight="15" x14ac:dyDescent="0.25"/>
  <cols>
    <col min="1" max="1" width="4.7109375" customWidth="1"/>
    <col min="2" max="2" width="31.85546875" customWidth="1"/>
    <col min="3" max="3" width="7.5703125" bestFit="1" customWidth="1"/>
    <col min="4" max="4" width="8" customWidth="1"/>
    <col min="5" max="5" width="15.5703125" customWidth="1"/>
    <col min="6" max="6" width="14" customWidth="1"/>
    <col min="7" max="7" width="11.28515625" customWidth="1"/>
  </cols>
  <sheetData>
    <row r="1" spans="1:7" ht="21" x14ac:dyDescent="0.25">
      <c r="A1" s="247" t="s">
        <v>256</v>
      </c>
      <c r="B1" s="247"/>
      <c r="C1" s="247"/>
      <c r="D1" s="247"/>
      <c r="E1" s="247"/>
      <c r="F1" s="247"/>
      <c r="G1" s="247"/>
    </row>
    <row r="2" spans="1:7" ht="15" customHeight="1" x14ac:dyDescent="0.25">
      <c r="A2" s="228" t="s">
        <v>1</v>
      </c>
      <c r="B2" s="228"/>
      <c r="C2" s="228"/>
      <c r="D2" s="228"/>
      <c r="E2" s="228"/>
      <c r="F2" s="228"/>
      <c r="G2" s="228"/>
    </row>
    <row r="3" spans="1:7" ht="15" customHeight="1" x14ac:dyDescent="0.25">
      <c r="A3" s="228" t="s">
        <v>2</v>
      </c>
      <c r="B3" s="228"/>
      <c r="C3" s="228"/>
      <c r="D3" s="228"/>
      <c r="E3" s="228"/>
      <c r="F3" s="228"/>
      <c r="G3" s="228"/>
    </row>
    <row r="4" spans="1:7" ht="15" customHeight="1" x14ac:dyDescent="0.25">
      <c r="A4" s="248" t="s">
        <v>258</v>
      </c>
      <c r="B4" s="248"/>
      <c r="C4" s="248"/>
      <c r="D4" s="248"/>
      <c r="E4" s="248"/>
      <c r="F4" s="248"/>
      <c r="G4" s="248"/>
    </row>
    <row r="5" spans="1:7" ht="15" customHeight="1" x14ac:dyDescent="0.25">
      <c r="A5" s="4"/>
      <c r="B5" s="4"/>
      <c r="C5" s="4"/>
      <c r="D5" s="4"/>
      <c r="E5" s="4"/>
      <c r="F5" s="4"/>
      <c r="G5" s="4"/>
    </row>
    <row r="6" spans="1:7" ht="15" customHeight="1" x14ac:dyDescent="0.25">
      <c r="A6" s="265" t="s">
        <v>197</v>
      </c>
      <c r="B6" s="265"/>
      <c r="C6" s="266"/>
      <c r="D6" s="266"/>
      <c r="E6" s="266"/>
      <c r="F6" s="266"/>
      <c r="G6" s="266"/>
    </row>
    <row r="7" spans="1:7" ht="15" customHeight="1" x14ac:dyDescent="0.25">
      <c r="A7" s="265" t="s">
        <v>198</v>
      </c>
      <c r="B7" s="265"/>
      <c r="C7" s="267"/>
      <c r="D7" s="266"/>
      <c r="E7" s="266"/>
      <c r="F7" s="266"/>
      <c r="G7" s="266"/>
    </row>
    <row r="8" spans="1:7" ht="15" customHeight="1" x14ac:dyDescent="0.25">
      <c r="A8" s="257" t="s">
        <v>218</v>
      </c>
      <c r="B8" s="257"/>
      <c r="C8" s="260"/>
      <c r="D8" s="260"/>
      <c r="E8" s="260"/>
      <c r="F8" s="260"/>
      <c r="G8" s="260"/>
    </row>
    <row r="9" spans="1:7" ht="15" customHeight="1" x14ac:dyDescent="0.25">
      <c r="A9" s="257" t="s">
        <v>199</v>
      </c>
      <c r="B9" s="257"/>
      <c r="C9" s="65">
        <v>1</v>
      </c>
      <c r="D9" s="66"/>
      <c r="E9" s="66"/>
      <c r="F9" s="66"/>
      <c r="G9" s="66"/>
    </row>
    <row r="10" spans="1:7" ht="15" customHeight="1" x14ac:dyDescent="0.25">
      <c r="A10" s="257" t="s">
        <v>200</v>
      </c>
      <c r="B10" s="257"/>
      <c r="C10" s="260"/>
      <c r="D10" s="260"/>
      <c r="E10" s="260"/>
      <c r="F10" s="260"/>
      <c r="G10" s="260"/>
    </row>
    <row r="11" spans="1:7" ht="15" customHeight="1" x14ac:dyDescent="0.25">
      <c r="A11" s="257" t="s">
        <v>255</v>
      </c>
      <c r="B11" s="257"/>
      <c r="C11" s="260"/>
      <c r="D11" s="260"/>
      <c r="E11" s="260"/>
      <c r="F11" s="260"/>
      <c r="G11" s="260"/>
    </row>
    <row r="12" spans="1:7" ht="15.75" thickBot="1" x14ac:dyDescent="0.3"/>
    <row r="13" spans="1:7" ht="15.75" x14ac:dyDescent="0.25">
      <c r="A13" s="249" t="s">
        <v>219</v>
      </c>
      <c r="B13" s="250"/>
      <c r="C13" s="250"/>
      <c r="D13" s="250"/>
      <c r="E13" s="250"/>
      <c r="F13" s="250"/>
      <c r="G13" s="251"/>
    </row>
    <row r="14" spans="1:7" ht="30.75" thickBot="1" x14ac:dyDescent="0.3">
      <c r="A14" s="41" t="s">
        <v>201</v>
      </c>
      <c r="B14" s="42" t="s">
        <v>202</v>
      </c>
      <c r="C14" s="230" t="s">
        <v>203</v>
      </c>
      <c r="D14" s="231"/>
      <c r="E14" s="43" t="s">
        <v>204</v>
      </c>
      <c r="F14" s="42" t="s">
        <v>205</v>
      </c>
      <c r="G14" s="223" t="s">
        <v>8</v>
      </c>
    </row>
    <row r="15" spans="1:7" ht="15.75" thickTop="1" x14ac:dyDescent="0.25">
      <c r="A15" s="56" t="s">
        <v>12</v>
      </c>
      <c r="B15" s="218"/>
      <c r="C15" s="232">
        <f>SUMIFS('Weight Cal'!H$6:H$37,'Weight Cal'!B$6:B$37,'Costing Sheet'!B15)</f>
        <v>0</v>
      </c>
      <c r="D15" s="232"/>
      <c r="E15" s="50">
        <f>SUMIFS('Materials Rate'!C$9:C$70,'Materials Rate'!B$9:B$70,'Costing Sheet'!B15)</f>
        <v>0</v>
      </c>
      <c r="F15" s="51">
        <f>E15*C15</f>
        <v>0</v>
      </c>
      <c r="G15" s="57"/>
    </row>
    <row r="16" spans="1:7" x14ac:dyDescent="0.25">
      <c r="A16" s="58" t="s">
        <v>14</v>
      </c>
      <c r="B16" s="219"/>
      <c r="C16" s="233">
        <f>SUMIFS('Weight Cal'!H$6:H$37,'Weight Cal'!B$6:B$37,'Costing Sheet'!B16)</f>
        <v>0</v>
      </c>
      <c r="D16" s="233"/>
      <c r="E16" s="48">
        <f>SUMIFS('Materials Rate'!C$9:C$70,'Materials Rate'!B$9:B$70,'Costing Sheet'!B16)</f>
        <v>0</v>
      </c>
      <c r="F16" s="49">
        <f t="shared" ref="F16:F19" si="0">E16*C16</f>
        <v>0</v>
      </c>
      <c r="G16" s="59"/>
    </row>
    <row r="17" spans="1:7" x14ac:dyDescent="0.25">
      <c r="A17" s="58" t="s">
        <v>16</v>
      </c>
      <c r="B17" s="219"/>
      <c r="C17" s="233">
        <f>SUMIFS('Weight Cal'!H$6:H$37,'Weight Cal'!B$6:B$37,'Costing Sheet'!B17)</f>
        <v>0</v>
      </c>
      <c r="D17" s="233"/>
      <c r="E17" s="48">
        <f>SUMIFS('Materials Rate'!C$9:C$70,'Materials Rate'!B$9:B$70,'Costing Sheet'!B17)</f>
        <v>0</v>
      </c>
      <c r="F17" s="49">
        <f t="shared" si="0"/>
        <v>0</v>
      </c>
      <c r="G17" s="59"/>
    </row>
    <row r="18" spans="1:7" x14ac:dyDescent="0.25">
      <c r="A18" s="58" t="s">
        <v>18</v>
      </c>
      <c r="B18" s="219"/>
      <c r="C18" s="233">
        <f>SUMIFS('Weight Cal'!H$6:H$37,'Weight Cal'!B$6:B$37,'Costing Sheet'!B18)</f>
        <v>0</v>
      </c>
      <c r="D18" s="233"/>
      <c r="E18" s="48">
        <f>SUMIFS('Materials Rate'!C$9:C$70,'Materials Rate'!B$9:B$70,'Costing Sheet'!B18)</f>
        <v>0</v>
      </c>
      <c r="F18" s="49">
        <f t="shared" si="0"/>
        <v>0</v>
      </c>
      <c r="G18" s="59"/>
    </row>
    <row r="19" spans="1:7" x14ac:dyDescent="0.25">
      <c r="A19" s="58" t="s">
        <v>20</v>
      </c>
      <c r="B19" s="219"/>
      <c r="C19" s="233">
        <f>SUMIFS('Weight Cal'!H$6:H$37,'Weight Cal'!B$6:B$37,'Costing Sheet'!B19)</f>
        <v>0</v>
      </c>
      <c r="D19" s="233"/>
      <c r="E19" s="48">
        <f>SUMIFS('Materials Rate'!C$9:C$70,'Materials Rate'!B$9:B$70,'Costing Sheet'!B19)</f>
        <v>0</v>
      </c>
      <c r="F19" s="49">
        <f t="shared" si="0"/>
        <v>0</v>
      </c>
      <c r="G19" s="59"/>
    </row>
    <row r="20" spans="1:7" x14ac:dyDescent="0.25">
      <c r="A20" s="237" t="s">
        <v>210</v>
      </c>
      <c r="B20" s="238"/>
      <c r="C20" s="239">
        <f>SUM(C15:C19)</f>
        <v>0</v>
      </c>
      <c r="D20" s="239"/>
      <c r="E20" s="52"/>
      <c r="F20" s="53">
        <f>SUM(F15:F19)</f>
        <v>0</v>
      </c>
      <c r="G20" s="60"/>
    </row>
    <row r="21" spans="1:7" ht="15.75" x14ac:dyDescent="0.25">
      <c r="A21" s="252" t="s">
        <v>220</v>
      </c>
      <c r="B21" s="253"/>
      <c r="C21" s="253"/>
      <c r="D21" s="253"/>
      <c r="E21" s="253"/>
      <c r="F21" s="253"/>
      <c r="G21" s="254"/>
    </row>
    <row r="22" spans="1:7" x14ac:dyDescent="0.25">
      <c r="A22" s="258" t="s">
        <v>201</v>
      </c>
      <c r="B22" s="234" t="s">
        <v>206</v>
      </c>
      <c r="C22" s="236" t="s">
        <v>211</v>
      </c>
      <c r="D22" s="236"/>
      <c r="E22" s="21" t="s">
        <v>207</v>
      </c>
      <c r="F22" s="29" t="s">
        <v>205</v>
      </c>
      <c r="G22" s="20" t="s">
        <v>8</v>
      </c>
    </row>
    <row r="23" spans="1:7" ht="15.75" thickBot="1" x14ac:dyDescent="0.3">
      <c r="A23" s="259"/>
      <c r="B23" s="235"/>
      <c r="C23" s="230" t="s">
        <v>208</v>
      </c>
      <c r="D23" s="231"/>
      <c r="E23" s="42" t="s">
        <v>209</v>
      </c>
      <c r="F23" s="42"/>
      <c r="G23" s="44"/>
    </row>
    <row r="24" spans="1:7" ht="15.75" thickTop="1" x14ac:dyDescent="0.25">
      <c r="A24" s="56" t="s">
        <v>12</v>
      </c>
      <c r="B24" s="218"/>
      <c r="C24" s="256"/>
      <c r="D24" s="256"/>
      <c r="E24" s="50">
        <f>SUMIFS(Machining!$D8:D$71,Machining!B$8:B$71,'Costing Sheet'!B24)</f>
        <v>0</v>
      </c>
      <c r="F24" s="55">
        <f>E24*C24</f>
        <v>0</v>
      </c>
      <c r="G24" s="61"/>
    </row>
    <row r="25" spans="1:7" x14ac:dyDescent="0.25">
      <c r="A25" s="58" t="s">
        <v>14</v>
      </c>
      <c r="B25" s="219"/>
      <c r="C25" s="255"/>
      <c r="D25" s="255"/>
      <c r="E25" s="48">
        <f>SUMIFS(Machining!D$8:D$71,Machining!B$8:B$71,'Costing Sheet'!B25)</f>
        <v>0</v>
      </c>
      <c r="F25" s="54">
        <f t="shared" ref="F25:F31" si="1">E25*C25</f>
        <v>0</v>
      </c>
      <c r="G25" s="62"/>
    </row>
    <row r="26" spans="1:7" x14ac:dyDescent="0.25">
      <c r="A26" s="58" t="s">
        <v>16</v>
      </c>
      <c r="B26" s="219"/>
      <c r="C26" s="255"/>
      <c r="D26" s="255"/>
      <c r="E26" s="48">
        <f>SUMIFS(Machining!D$8:D$71,Machining!B$8:B$71,'Costing Sheet'!B26)</f>
        <v>0</v>
      </c>
      <c r="F26" s="54">
        <f t="shared" si="1"/>
        <v>0</v>
      </c>
      <c r="G26" s="62"/>
    </row>
    <row r="27" spans="1:7" x14ac:dyDescent="0.25">
      <c r="A27" s="58" t="s">
        <v>18</v>
      </c>
      <c r="B27" s="219"/>
      <c r="C27" s="255"/>
      <c r="D27" s="255"/>
      <c r="E27" s="48">
        <f>SUMIFS(Machining!D$8:D$71,Machining!B$8:B$71,'Costing Sheet'!B27)</f>
        <v>0</v>
      </c>
      <c r="F27" s="54">
        <f t="shared" si="1"/>
        <v>0</v>
      </c>
      <c r="G27" s="62"/>
    </row>
    <row r="28" spans="1:7" x14ac:dyDescent="0.25">
      <c r="A28" s="58" t="s">
        <v>20</v>
      </c>
      <c r="B28" s="219"/>
      <c r="C28" s="255"/>
      <c r="D28" s="255"/>
      <c r="E28" s="48">
        <f>SUMIFS(Machining!D$8:D$71,Machining!B$8:B$71,'Costing Sheet'!B28)</f>
        <v>0</v>
      </c>
      <c r="F28" s="54">
        <f t="shared" si="1"/>
        <v>0</v>
      </c>
      <c r="G28" s="62"/>
    </row>
    <row r="29" spans="1:7" x14ac:dyDescent="0.25">
      <c r="A29" s="58" t="s">
        <v>22</v>
      </c>
      <c r="B29" s="219"/>
      <c r="C29" s="255"/>
      <c r="D29" s="255"/>
      <c r="E29" s="48">
        <f>SUMIFS(Machining!D$8:D$71,Machining!B$8:B$71,'Costing Sheet'!B29)</f>
        <v>0</v>
      </c>
      <c r="F29" s="54">
        <f t="shared" si="1"/>
        <v>0</v>
      </c>
      <c r="G29" s="62"/>
    </row>
    <row r="30" spans="1:7" x14ac:dyDescent="0.25">
      <c r="A30" s="58" t="s">
        <v>24</v>
      </c>
      <c r="B30" s="219"/>
      <c r="C30" s="255"/>
      <c r="D30" s="255"/>
      <c r="E30" s="48">
        <f>SUMIFS(Machining!D$8:D$71,Machining!B$8:B$71,'Costing Sheet'!B30)</f>
        <v>0</v>
      </c>
      <c r="F30" s="54">
        <f t="shared" si="1"/>
        <v>0</v>
      </c>
      <c r="G30" s="62"/>
    </row>
    <row r="31" spans="1:7" x14ac:dyDescent="0.25">
      <c r="A31" s="58" t="s">
        <v>26</v>
      </c>
      <c r="B31" s="219"/>
      <c r="C31" s="268"/>
      <c r="D31" s="269"/>
      <c r="E31" s="156">
        <f>SUMIFS(Machining!D$8:D$71,Machining!B$8:B$71,'Costing Sheet'!B31)</f>
        <v>0</v>
      </c>
      <c r="F31" s="54">
        <f t="shared" si="1"/>
        <v>0</v>
      </c>
      <c r="G31" s="62"/>
    </row>
    <row r="32" spans="1:7" x14ac:dyDescent="0.25">
      <c r="A32" s="263" t="s">
        <v>210</v>
      </c>
      <c r="B32" s="264"/>
      <c r="C32" s="255">
        <f>SUM(C24:D30)</f>
        <v>0</v>
      </c>
      <c r="D32" s="255"/>
      <c r="E32" s="48"/>
      <c r="F32" s="54">
        <f>SUM(F24:F31)</f>
        <v>0</v>
      </c>
      <c r="G32" s="62"/>
    </row>
    <row r="33" spans="1:8" ht="15.75" x14ac:dyDescent="0.25">
      <c r="A33" s="252" t="s">
        <v>221</v>
      </c>
      <c r="B33" s="253"/>
      <c r="C33" s="253"/>
      <c r="D33" s="253"/>
      <c r="E33" s="253"/>
      <c r="F33" s="253"/>
      <c r="G33" s="254"/>
    </row>
    <row r="34" spans="1:8" x14ac:dyDescent="0.25">
      <c r="A34" s="258" t="s">
        <v>201</v>
      </c>
      <c r="B34" s="234" t="s">
        <v>206</v>
      </c>
      <c r="C34" s="236" t="s">
        <v>211</v>
      </c>
      <c r="D34" s="236"/>
      <c r="E34" s="21" t="s">
        <v>207</v>
      </c>
      <c r="F34" s="29" t="s">
        <v>205</v>
      </c>
      <c r="G34" s="20" t="s">
        <v>8</v>
      </c>
    </row>
    <row r="35" spans="1:8" ht="15.75" thickBot="1" x14ac:dyDescent="0.3">
      <c r="A35" s="259"/>
      <c r="B35" s="235"/>
      <c r="C35" s="230" t="s">
        <v>281</v>
      </c>
      <c r="D35" s="231"/>
      <c r="E35" s="42" t="s">
        <v>282</v>
      </c>
      <c r="F35" s="42"/>
      <c r="G35" s="44"/>
    </row>
    <row r="36" spans="1:8" ht="15.75" thickTop="1" x14ac:dyDescent="0.25">
      <c r="A36" s="56" t="s">
        <v>12</v>
      </c>
      <c r="B36" s="218"/>
      <c r="C36" s="271">
        <f>SUMIFS('HT Cal'!F$6:F$37,'HT Cal'!B$6:B$37,'Costing Sheet'!B36)</f>
        <v>0</v>
      </c>
      <c r="D36" s="271"/>
      <c r="E36" s="156">
        <f>SUMIFS('Materials Rate'!C$72:C$79,'Materials Rate'!B$72:B$79,'Costing Sheet'!B36)</f>
        <v>0</v>
      </c>
      <c r="F36" s="55">
        <f>E36*C36</f>
        <v>0</v>
      </c>
      <c r="G36" s="63"/>
    </row>
    <row r="37" spans="1:8" x14ac:dyDescent="0.25">
      <c r="A37" s="58" t="s">
        <v>14</v>
      </c>
      <c r="B37" s="219"/>
      <c r="C37" s="271">
        <f>SUMIFS('HT Cal'!F$6:F$37,'HT Cal'!B$6:B$37,'Costing Sheet'!B37)</f>
        <v>0</v>
      </c>
      <c r="D37" s="271"/>
      <c r="E37" s="48">
        <f>SUMIFS('Materials Rate'!C$72:C$79,'Materials Rate'!B$72:B$79,'Costing Sheet'!B37)</f>
        <v>0</v>
      </c>
      <c r="F37" s="54">
        <f t="shared" ref="F37:F38" si="2">E37*C37</f>
        <v>0</v>
      </c>
      <c r="G37" s="64"/>
    </row>
    <row r="38" spans="1:8" x14ac:dyDescent="0.25">
      <c r="A38" s="58" t="s">
        <v>16</v>
      </c>
      <c r="B38" s="219"/>
      <c r="C38" s="271">
        <f>SUMIFS('HT Cal'!F$6:F$37,'HT Cal'!B$6:B$37,'Costing Sheet'!B38)</f>
        <v>0</v>
      </c>
      <c r="D38" s="271"/>
      <c r="E38" s="48">
        <f>SUMIFS('Materials Rate'!C$72:C$79,'Materials Rate'!B$72:B$79,'Costing Sheet'!B38)</f>
        <v>0</v>
      </c>
      <c r="F38" s="54">
        <f t="shared" si="2"/>
        <v>0</v>
      </c>
      <c r="G38" s="64"/>
    </row>
    <row r="39" spans="1:8" x14ac:dyDescent="0.25">
      <c r="A39" s="263" t="s">
        <v>210</v>
      </c>
      <c r="B39" s="264"/>
      <c r="C39" s="271">
        <f>SUM(C36:C38)</f>
        <v>0</v>
      </c>
      <c r="D39" s="256"/>
      <c r="E39" s="48"/>
      <c r="F39" s="54">
        <f>SUM(F36:F38)</f>
        <v>0</v>
      </c>
      <c r="G39" s="64"/>
    </row>
    <row r="40" spans="1:8" ht="15.75" x14ac:dyDescent="0.25">
      <c r="A40" s="272" t="s">
        <v>278</v>
      </c>
      <c r="B40" s="273"/>
      <c r="C40" s="273"/>
      <c r="D40" s="273"/>
      <c r="E40" s="273"/>
      <c r="F40" s="273"/>
      <c r="G40" s="274"/>
    </row>
    <row r="41" spans="1:8" ht="15" customHeight="1" x14ac:dyDescent="0.25">
      <c r="A41" s="275" t="s">
        <v>201</v>
      </c>
      <c r="B41" s="276" t="s">
        <v>206</v>
      </c>
      <c r="C41" s="243" t="s">
        <v>279</v>
      </c>
      <c r="D41" s="244"/>
      <c r="E41" s="178" t="s">
        <v>207</v>
      </c>
      <c r="F41" s="179" t="s">
        <v>205</v>
      </c>
      <c r="G41" s="180" t="s">
        <v>8</v>
      </c>
    </row>
    <row r="42" spans="1:8" ht="15.75" thickBot="1" x14ac:dyDescent="0.3">
      <c r="A42" s="259"/>
      <c r="B42" s="235"/>
      <c r="C42" s="245"/>
      <c r="D42" s="246"/>
      <c r="E42" s="157" t="s">
        <v>280</v>
      </c>
      <c r="F42" s="157"/>
      <c r="G42" s="44"/>
    </row>
    <row r="43" spans="1:8" ht="15.75" thickTop="1" x14ac:dyDescent="0.25">
      <c r="A43" s="188" t="s">
        <v>12</v>
      </c>
      <c r="B43" s="220"/>
      <c r="C43" s="240"/>
      <c r="D43" s="240"/>
      <c r="E43" s="189"/>
      <c r="F43" s="181">
        <f>(C43*E43)</f>
        <v>0</v>
      </c>
      <c r="G43" s="63"/>
    </row>
    <row r="44" spans="1:8" x14ac:dyDescent="0.25">
      <c r="A44" s="190" t="s">
        <v>14</v>
      </c>
      <c r="B44" s="221"/>
      <c r="C44" s="270"/>
      <c r="D44" s="270"/>
      <c r="E44" s="191"/>
      <c r="F44" s="182">
        <f t="shared" ref="F44:F45" si="3">(C44*E44)</f>
        <v>0</v>
      </c>
      <c r="G44" s="64"/>
    </row>
    <row r="45" spans="1:8" x14ac:dyDescent="0.25">
      <c r="A45" s="190" t="s">
        <v>16</v>
      </c>
      <c r="B45" s="222"/>
      <c r="C45" s="270"/>
      <c r="D45" s="270"/>
      <c r="E45" s="192"/>
      <c r="F45" s="182">
        <f t="shared" si="3"/>
        <v>0</v>
      </c>
      <c r="G45" s="64"/>
    </row>
    <row r="46" spans="1:8" x14ac:dyDescent="0.25">
      <c r="A46" s="277" t="s">
        <v>210</v>
      </c>
      <c r="B46" s="278"/>
      <c r="C46" s="279">
        <f>SUM(C43:C45)</f>
        <v>0</v>
      </c>
      <c r="D46" s="280"/>
      <c r="E46" s="193"/>
      <c r="F46" s="183">
        <f>SUM(F43:F45)</f>
        <v>0</v>
      </c>
      <c r="G46" s="184"/>
    </row>
    <row r="47" spans="1:8" ht="15.75" x14ac:dyDescent="0.25">
      <c r="A47" s="261" t="s">
        <v>272</v>
      </c>
      <c r="B47" s="262"/>
      <c r="C47" s="262"/>
      <c r="D47" s="262"/>
      <c r="E47" s="185" t="s">
        <v>271</v>
      </c>
      <c r="F47" s="186">
        <f>(F20+F32+F39+F46)</f>
        <v>0</v>
      </c>
      <c r="G47" s="187"/>
    </row>
    <row r="48" spans="1:8" ht="15.75" x14ac:dyDescent="0.25">
      <c r="A48" s="226" t="s">
        <v>273</v>
      </c>
      <c r="B48" s="227"/>
      <c r="C48" s="227"/>
      <c r="D48" s="227"/>
      <c r="E48" s="173">
        <v>25</v>
      </c>
      <c r="F48" s="54">
        <f>F47*(E48/100)</f>
        <v>0</v>
      </c>
      <c r="G48" s="64"/>
      <c r="H48" s="28"/>
    </row>
    <row r="49" spans="1:11" ht="15.75" x14ac:dyDescent="0.25">
      <c r="A49" s="226" t="s">
        <v>274</v>
      </c>
      <c r="B49" s="227"/>
      <c r="C49" s="227"/>
      <c r="D49" s="227"/>
      <c r="E49" s="173">
        <v>7.5</v>
      </c>
      <c r="F49" s="54">
        <f>(F47+F48)*(E49/100)</f>
        <v>0</v>
      </c>
      <c r="G49" s="64"/>
    </row>
    <row r="50" spans="1:11" ht="15.75" x14ac:dyDescent="0.25">
      <c r="A50" s="226" t="s">
        <v>275</v>
      </c>
      <c r="B50" s="227"/>
      <c r="C50" s="227"/>
      <c r="D50" s="227"/>
      <c r="E50" s="173">
        <v>1</v>
      </c>
      <c r="F50" s="54">
        <f>(F47+F48+F49)*E50</f>
        <v>0</v>
      </c>
      <c r="G50" s="64"/>
    </row>
    <row r="51" spans="1:11" ht="15.75" x14ac:dyDescent="0.25">
      <c r="A51" s="226" t="s">
        <v>276</v>
      </c>
      <c r="B51" s="227"/>
      <c r="C51" s="227"/>
      <c r="D51" s="227"/>
      <c r="E51" s="173"/>
      <c r="F51" s="174">
        <f>F50</f>
        <v>0</v>
      </c>
      <c r="G51" s="64"/>
    </row>
    <row r="52" spans="1:11" ht="16.5" thickBot="1" x14ac:dyDescent="0.3">
      <c r="A52" s="241" t="s">
        <v>277</v>
      </c>
      <c r="B52" s="242"/>
      <c r="C52" s="242"/>
      <c r="D52" s="242"/>
      <c r="E52" s="175"/>
      <c r="F52" s="176">
        <f>F51*C8</f>
        <v>0</v>
      </c>
      <c r="G52" s="177"/>
      <c r="K52" s="155"/>
    </row>
    <row r="53" spans="1:11" x14ac:dyDescent="0.25">
      <c r="F53" s="24"/>
    </row>
    <row r="54" spans="1:11" x14ac:dyDescent="0.25">
      <c r="F54" s="24"/>
    </row>
    <row r="55" spans="1:11" x14ac:dyDescent="0.25">
      <c r="F55" s="24"/>
    </row>
    <row r="58" spans="1:11" x14ac:dyDescent="0.25">
      <c r="A58" s="229" t="s">
        <v>257</v>
      </c>
      <c r="B58" s="229"/>
      <c r="C58" s="229"/>
      <c r="D58" s="229"/>
      <c r="E58" s="229"/>
      <c r="F58" s="229"/>
      <c r="G58" s="229"/>
    </row>
  </sheetData>
  <mergeCells count="65">
    <mergeCell ref="A51:D51"/>
    <mergeCell ref="A33:G33"/>
    <mergeCell ref="A34:A35"/>
    <mergeCell ref="B34:B35"/>
    <mergeCell ref="C34:D34"/>
    <mergeCell ref="A39:B39"/>
    <mergeCell ref="C36:D36"/>
    <mergeCell ref="C37:D37"/>
    <mergeCell ref="C38:D38"/>
    <mergeCell ref="A40:G40"/>
    <mergeCell ref="A41:A42"/>
    <mergeCell ref="B41:B42"/>
    <mergeCell ref="C39:D39"/>
    <mergeCell ref="A46:B46"/>
    <mergeCell ref="C46:D46"/>
    <mergeCell ref="A6:B6"/>
    <mergeCell ref="A7:B7"/>
    <mergeCell ref="A9:B9"/>
    <mergeCell ref="A10:B10"/>
    <mergeCell ref="C6:G6"/>
    <mergeCell ref="C7:G7"/>
    <mergeCell ref="C10:G10"/>
    <mergeCell ref="C8:G8"/>
    <mergeCell ref="C11:G11"/>
    <mergeCell ref="A47:D47"/>
    <mergeCell ref="A50:D50"/>
    <mergeCell ref="A32:B32"/>
    <mergeCell ref="C32:D32"/>
    <mergeCell ref="C31:D31"/>
    <mergeCell ref="C44:D44"/>
    <mergeCell ref="C45:D45"/>
    <mergeCell ref="A49:D49"/>
    <mergeCell ref="C30:D30"/>
    <mergeCell ref="C35:D35"/>
    <mergeCell ref="C41:D42"/>
    <mergeCell ref="A1:G1"/>
    <mergeCell ref="A4:G4"/>
    <mergeCell ref="A13:G13"/>
    <mergeCell ref="A21:G21"/>
    <mergeCell ref="C29:D29"/>
    <mergeCell ref="C24:D24"/>
    <mergeCell ref="C25:D25"/>
    <mergeCell ref="C26:D26"/>
    <mergeCell ref="C27:D27"/>
    <mergeCell ref="C28:D28"/>
    <mergeCell ref="A8:B8"/>
    <mergeCell ref="A22:A23"/>
    <mergeCell ref="A11:B11"/>
    <mergeCell ref="A2:G2"/>
    <mergeCell ref="A48:D48"/>
    <mergeCell ref="A3:G3"/>
    <mergeCell ref="A58:G58"/>
    <mergeCell ref="C14:D14"/>
    <mergeCell ref="C15:D15"/>
    <mergeCell ref="C16:D16"/>
    <mergeCell ref="C17:D17"/>
    <mergeCell ref="C18:D18"/>
    <mergeCell ref="B22:B23"/>
    <mergeCell ref="C22:D22"/>
    <mergeCell ref="C23:D23"/>
    <mergeCell ref="A20:B20"/>
    <mergeCell ref="C19:D19"/>
    <mergeCell ref="C20:D20"/>
    <mergeCell ref="C43:D43"/>
    <mergeCell ref="A52:D52"/>
  </mergeCells>
  <pageMargins left="0.7" right="0.7" top="0.75" bottom="0.75" header="0.3" footer="0.3"/>
  <pageSetup scale="78" orientation="portrait" r:id="rId1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>
          <x14:formula1>
            <xm:f>Machining!$B$8:$B$71</xm:f>
          </x14:formula1>
          <xm:sqref>B24:B31</xm:sqref>
        </x14:dataValidation>
        <x14:dataValidation type="list" allowBlank="1" showInputMessage="1" showErrorMessage="1">
          <x14:formula1>
            <xm:f>'Materials Rate'!$B$9:$B$70</xm:f>
          </x14:formula1>
          <xm:sqref>B15:B19</xm:sqref>
        </x14:dataValidation>
        <x14:dataValidation type="list" allowBlank="1" showInputMessage="1" showErrorMessage="1">
          <x14:formula1>
            <xm:f>Machining!$B$50:$B$57</xm:f>
          </x14:formula1>
          <xm:sqref>B36:B38</xm:sqref>
        </x14:dataValidation>
        <x14:dataValidation type="list" allowBlank="1" showInputMessage="1" showErrorMessage="1">
          <x14:formula1>
            <xm:f>Conditions!$B$6:$B$15</xm:f>
          </x14:formula1>
          <xm:sqref>E48</xm:sqref>
        </x14:dataValidation>
        <x14:dataValidation type="list" allowBlank="1" showInputMessage="1" showErrorMessage="1">
          <x14:formula1>
            <xm:f>Conditions!$B$18:$B$22</xm:f>
          </x14:formula1>
          <xm:sqref>E49</xm:sqref>
        </x14:dataValidation>
        <x14:dataValidation type="list" allowBlank="1" showInputMessage="1" showErrorMessage="1">
          <x14:formula1>
            <xm:f>Conditions!$B$25:$B$41</xm:f>
          </x14:formula1>
          <xm:sqref>E50</xm:sqref>
        </x14:dataValidation>
        <x14:dataValidation type="list" allowBlank="1" showInputMessage="1" showErrorMessage="1">
          <x14:formula1>
            <xm:f>'Materials Rate'!$C$72:$C$79</xm:f>
          </x14:formula1>
          <xm:sqref>E36:E38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/>
  </sheetPr>
  <dimension ref="A1:K38"/>
  <sheetViews>
    <sheetView workbookViewId="0">
      <selection activeCell="B34" sqref="B34"/>
    </sheetView>
  </sheetViews>
  <sheetFormatPr defaultColWidth="9.140625" defaultRowHeight="15" x14ac:dyDescent="0.2"/>
  <cols>
    <col min="1" max="1" width="7.42578125" style="35" customWidth="1"/>
    <col min="2" max="2" width="19.42578125" style="35" customWidth="1"/>
    <col min="3" max="3" width="11.85546875" style="35" bestFit="1" customWidth="1"/>
    <col min="4" max="4" width="11.5703125" style="35" bestFit="1" customWidth="1"/>
    <col min="5" max="5" width="13.5703125" style="35" bestFit="1" customWidth="1"/>
    <col min="6" max="6" width="13.140625" style="35" bestFit="1" customWidth="1"/>
    <col min="7" max="7" width="16.28515625" style="35" bestFit="1" customWidth="1"/>
    <col min="8" max="8" width="13.7109375" style="35" bestFit="1" customWidth="1"/>
    <col min="9" max="16384" width="9.140625" style="35"/>
  </cols>
  <sheetData>
    <row r="1" spans="1:11" s="34" customFormat="1" ht="21" x14ac:dyDescent="0.3">
      <c r="A1" s="281" t="s">
        <v>240</v>
      </c>
      <c r="B1" s="281"/>
      <c r="C1" s="281"/>
      <c r="D1" s="281"/>
      <c r="E1" s="281"/>
      <c r="F1" s="281"/>
      <c r="G1" s="281"/>
      <c r="H1" s="281"/>
    </row>
    <row r="2" spans="1:11" ht="15.75" x14ac:dyDescent="0.25">
      <c r="A2" s="96"/>
      <c r="B2" s="96"/>
      <c r="C2" s="96"/>
      <c r="D2" s="96"/>
      <c r="E2" s="96"/>
      <c r="F2" s="96"/>
      <c r="G2" s="96"/>
      <c r="H2" s="97"/>
    </row>
    <row r="3" spans="1:11" ht="15.75" x14ac:dyDescent="0.25">
      <c r="A3" s="98" t="s">
        <v>223</v>
      </c>
      <c r="B3" s="96"/>
      <c r="C3" s="96"/>
      <c r="D3" s="96"/>
      <c r="E3" s="96"/>
      <c r="F3" s="96"/>
      <c r="G3" s="96"/>
      <c r="H3" s="97"/>
    </row>
    <row r="4" spans="1:11" ht="16.5" thickBot="1" x14ac:dyDescent="0.3">
      <c r="A4" s="98"/>
      <c r="B4" s="96"/>
      <c r="C4" s="96"/>
      <c r="D4" s="96"/>
      <c r="E4" s="96"/>
      <c r="F4" s="96"/>
      <c r="G4" s="96"/>
      <c r="H4" s="97"/>
    </row>
    <row r="5" spans="1:11" s="36" customFormat="1" ht="16.5" thickBot="1" x14ac:dyDescent="0.3">
      <c r="A5" s="99" t="s">
        <v>201</v>
      </c>
      <c r="B5" s="214" t="s">
        <v>224</v>
      </c>
      <c r="C5" s="99" t="s">
        <v>226</v>
      </c>
      <c r="D5" s="99" t="s">
        <v>227</v>
      </c>
      <c r="E5" s="99" t="s">
        <v>241</v>
      </c>
      <c r="F5" s="99" t="s">
        <v>268</v>
      </c>
      <c r="G5" s="99" t="s">
        <v>269</v>
      </c>
      <c r="H5" s="99" t="s">
        <v>244</v>
      </c>
    </row>
    <row r="6" spans="1:11" ht="15.75" x14ac:dyDescent="0.25">
      <c r="A6" s="129">
        <v>1</v>
      </c>
      <c r="B6" s="115"/>
      <c r="C6" s="130">
        <f>SUMIFS('HT Size'!H$7:H$11,'HT Size'!B$7:B$11,'HT Cal'!B6)</f>
        <v>0</v>
      </c>
      <c r="D6" s="102">
        <f>SUMIFS('HT Size'!M$7:M$11,'HT Size'!B7:B11,'HT Cal'!B6)</f>
        <v>0</v>
      </c>
      <c r="E6" s="102">
        <f>SUMIFS('HT Size'!R$7:R$11,'HT Size'!B$7:B$11,'HT Cal'!B6)</f>
        <v>0</v>
      </c>
      <c r="F6" s="172">
        <f>E6*D6*C6</f>
        <v>0</v>
      </c>
      <c r="G6" s="75">
        <f>SUMIFS('Materials Rate'!E$72:E$79,'Materials Rate'!B$72:B$79,'HT Cal'!B6)</f>
        <v>0</v>
      </c>
      <c r="H6" s="168">
        <f t="shared" ref="H6:H10" si="0">G6*F6</f>
        <v>0</v>
      </c>
    </row>
    <row r="7" spans="1:11" ht="15.75" x14ac:dyDescent="0.25">
      <c r="A7" s="131">
        <v>2</v>
      </c>
      <c r="B7" s="104"/>
      <c r="C7" s="132">
        <f>SUMIFS('Input Size'!H$7:H$11,'Input Size'!B$7:B$11,'HT Cal'!B7)</f>
        <v>0</v>
      </c>
      <c r="D7" s="75">
        <f>SUMIFS('Input Size'!M$7:M$11,'Input Size'!B$7:B$11,'HT Cal'!B7)</f>
        <v>0</v>
      </c>
      <c r="E7" s="75">
        <f>SUMIFS('Input Size'!R$7:R$11,'Input Size'!B$7:B$11,'HT Cal'!B7)</f>
        <v>0</v>
      </c>
      <c r="F7" s="166">
        <f t="shared" ref="F7:F10" si="1">E7*D7*C7</f>
        <v>0</v>
      </c>
      <c r="G7" s="79">
        <f>SUMIFS('Materials Rate'!E$72:E$79,'Materials Rate'!B$72:B$79,'HT Cal'!B7)</f>
        <v>0</v>
      </c>
      <c r="H7" s="168">
        <f t="shared" si="0"/>
        <v>0</v>
      </c>
    </row>
    <row r="8" spans="1:11" ht="15.75" x14ac:dyDescent="0.25">
      <c r="A8" s="131">
        <v>3</v>
      </c>
      <c r="B8" s="104"/>
      <c r="C8" s="132">
        <f>SUMIFS('Input Size'!H$7:H$11,'Input Size'!B$7:B$11,'HT Cal'!B8)</f>
        <v>0</v>
      </c>
      <c r="D8" s="79">
        <f>SUMIFS('Input Size'!M$7:M$11,'Input Size'!B$7:B$11,'HT Cal'!B8)</f>
        <v>0</v>
      </c>
      <c r="E8" s="75">
        <f>SUMIFS('Input Size'!R$7:R$11,'Input Size'!B$7:B$11,'HT Cal'!B8)</f>
        <v>0</v>
      </c>
      <c r="F8" s="166">
        <f t="shared" si="1"/>
        <v>0</v>
      </c>
      <c r="G8" s="79">
        <f>SUMIFS('Materials Rate'!E$72:E$79,'Materials Rate'!B$72:B$79,'HT Cal'!B8)</f>
        <v>0</v>
      </c>
      <c r="H8" s="168">
        <f t="shared" si="0"/>
        <v>0</v>
      </c>
    </row>
    <row r="9" spans="1:11" ht="15.75" x14ac:dyDescent="0.25">
      <c r="A9" s="131">
        <v>4</v>
      </c>
      <c r="B9" s="104"/>
      <c r="C9" s="132">
        <f>SUMIFS('Input Size'!H$7:H$11,'Input Size'!B$7:B$11,'HT Cal'!B9)</f>
        <v>0</v>
      </c>
      <c r="D9" s="75">
        <f>SUMIFS('Input Size'!M$7:M$11,'Input Size'!B$7:B$11,'HT Cal'!B9)</f>
        <v>0</v>
      </c>
      <c r="E9" s="75">
        <f>SUMIFS('Input Size'!R$7:R$11,'Input Size'!B$7:B$11,'HT Cal'!B9)</f>
        <v>0</v>
      </c>
      <c r="F9" s="166">
        <f t="shared" si="1"/>
        <v>0</v>
      </c>
      <c r="G9" s="79">
        <f>SUMIFS('Materials Rate'!E$72:E$79,'Materials Rate'!B$72:B$79,'HT Cal'!B9)</f>
        <v>0</v>
      </c>
      <c r="H9" s="168">
        <f t="shared" si="0"/>
        <v>0</v>
      </c>
    </row>
    <row r="10" spans="1:11" ht="16.5" thickBot="1" x14ac:dyDescent="0.3">
      <c r="A10" s="133">
        <v>5</v>
      </c>
      <c r="B10" s="106"/>
      <c r="C10" s="134">
        <f>SUMIFS('Input Size'!H$7:H$11,'Input Size'!B$7:B$11,'HT Cal'!B10)</f>
        <v>0</v>
      </c>
      <c r="D10" s="107">
        <f>SUMIFS('Input Size'!M$7:M$11,'Input Size'!B$7:B$11,'HT Cal'!B10)</f>
        <v>0</v>
      </c>
      <c r="E10" s="107">
        <f>SUMIFS('Input Size'!R$7:R$11,'Input Size'!B$7:B$11,'HT Cal'!B10)</f>
        <v>0</v>
      </c>
      <c r="F10" s="167">
        <f t="shared" si="1"/>
        <v>0</v>
      </c>
      <c r="G10" s="93">
        <f>SUMIFS('Materials Rate'!E$72:E$79,'Materials Rate'!B$72:B$79,'HT Cal'!B10)</f>
        <v>0</v>
      </c>
      <c r="H10" s="169">
        <f t="shared" si="0"/>
        <v>0</v>
      </c>
      <c r="K10" s="144"/>
    </row>
    <row r="11" spans="1:11" ht="15.75" x14ac:dyDescent="0.25">
      <c r="A11" s="282"/>
      <c r="B11" s="282"/>
      <c r="C11" s="282"/>
      <c r="D11" s="282"/>
      <c r="E11" s="282"/>
      <c r="F11" s="282"/>
      <c r="G11" s="282"/>
      <c r="H11" s="108"/>
    </row>
    <row r="12" spans="1:11" ht="15.75" x14ac:dyDescent="0.25">
      <c r="A12" s="109" t="s">
        <v>233</v>
      </c>
      <c r="B12" s="110"/>
      <c r="C12" s="110"/>
      <c r="D12" s="110"/>
      <c r="E12" s="110"/>
      <c r="F12" s="110"/>
      <c r="G12" s="110"/>
      <c r="H12" s="111"/>
    </row>
    <row r="13" spans="1:11" ht="16.5" thickBot="1" x14ac:dyDescent="0.3">
      <c r="A13" s="109"/>
      <c r="B13" s="110"/>
      <c r="C13" s="110"/>
      <c r="D13" s="110"/>
      <c r="E13" s="110"/>
      <c r="F13" s="110"/>
      <c r="G13" s="110"/>
      <c r="H13" s="111"/>
    </row>
    <row r="14" spans="1:11" s="36" customFormat="1" ht="15.75" x14ac:dyDescent="0.25">
      <c r="A14" s="135" t="s">
        <v>201</v>
      </c>
      <c r="B14" s="215" t="s">
        <v>224</v>
      </c>
      <c r="C14" s="136" t="s">
        <v>234</v>
      </c>
      <c r="D14" s="136" t="s">
        <v>241</v>
      </c>
      <c r="E14" s="137"/>
      <c r="F14" s="136" t="s">
        <v>268</v>
      </c>
      <c r="G14" s="136" t="s">
        <v>269</v>
      </c>
      <c r="H14" s="138" t="s">
        <v>245</v>
      </c>
    </row>
    <row r="15" spans="1:11" ht="16.5" customHeight="1" x14ac:dyDescent="0.25">
      <c r="A15" s="103">
        <v>1</v>
      </c>
      <c r="B15" s="104"/>
      <c r="C15" s="79">
        <f>SUMIFS('HT Size'!H$18:H$22,'HT Size'!B$18:B$22,'HT Cal'!B15)</f>
        <v>0</v>
      </c>
      <c r="D15" s="79">
        <f>SUMIFS('HT Size'!M$18:M$22,'HT Size'!B$18:B$22,'HT Cal'!B15)</f>
        <v>0</v>
      </c>
      <c r="E15" s="79"/>
      <c r="F15" s="79">
        <f>C15*D15</f>
        <v>0</v>
      </c>
      <c r="G15" s="116">
        <f>SUMIFS('Materials Rate'!E$72:E$79,'Materials Rate'!B$72:B$79,'HT Cal'!B15)</f>
        <v>0</v>
      </c>
      <c r="H15" s="117">
        <f>F15*G15</f>
        <v>0</v>
      </c>
    </row>
    <row r="16" spans="1:11" ht="15.75" customHeight="1" x14ac:dyDescent="0.25">
      <c r="A16" s="103">
        <v>2</v>
      </c>
      <c r="B16" s="104"/>
      <c r="C16" s="79">
        <f>SUMIFS('HT Size'!H$18:H$22,'HT Size'!B$18:B$22,'HT Cal'!B16)</f>
        <v>0</v>
      </c>
      <c r="D16" s="79">
        <f>SUMIFS('HT Size'!M$18:M$22,'HT Size'!B$18:B$22,'HT Cal'!B16)</f>
        <v>0</v>
      </c>
      <c r="E16" s="79"/>
      <c r="F16" s="79">
        <f t="shared" ref="F16:F18" si="2">C16*D16</f>
        <v>0</v>
      </c>
      <c r="G16" s="116">
        <f>SUMIFS('Materials Rate'!E$72:E$79,'Materials Rate'!B$72:B$79,'HT Cal'!B16)</f>
        <v>0</v>
      </c>
      <c r="H16" s="117">
        <f t="shared" ref="H16:H19" si="3">F16*G16</f>
        <v>0</v>
      </c>
    </row>
    <row r="17" spans="1:8" ht="15.75" x14ac:dyDescent="0.25">
      <c r="A17" s="103">
        <v>3</v>
      </c>
      <c r="B17" s="104"/>
      <c r="C17" s="79">
        <f>SUMIFS('HT Size'!H$18:H$22,'HT Size'!B$18:B$22,'HT Cal'!B17)</f>
        <v>0</v>
      </c>
      <c r="D17" s="79">
        <f>SUMIFS('HT Size'!M$18:M$22,'HT Size'!B$18:B$22,'HT Cal'!B17)</f>
        <v>0</v>
      </c>
      <c r="E17" s="79"/>
      <c r="F17" s="79">
        <f t="shared" si="2"/>
        <v>0</v>
      </c>
      <c r="G17" s="116">
        <f>SUMIFS('Materials Rate'!E$72:E$79,'Materials Rate'!B$72:B$79,'HT Cal'!B17)</f>
        <v>0</v>
      </c>
      <c r="H17" s="117">
        <f t="shared" si="3"/>
        <v>0</v>
      </c>
    </row>
    <row r="18" spans="1:8" ht="15.75" x14ac:dyDescent="0.25">
      <c r="A18" s="103">
        <v>4</v>
      </c>
      <c r="B18" s="104"/>
      <c r="C18" s="79">
        <f>SUMIFS('HT Size'!H$18:H$22,'HT Size'!B$18:B$22,'HT Cal'!B18)</f>
        <v>0</v>
      </c>
      <c r="D18" s="79">
        <f>SUMIFS('HT Size'!M$18:M$22,'HT Size'!B$18:B$22,'HT Cal'!B18)</f>
        <v>0</v>
      </c>
      <c r="E18" s="79"/>
      <c r="F18" s="79">
        <f t="shared" si="2"/>
        <v>0</v>
      </c>
      <c r="G18" s="116">
        <f>SUMIFS('Materials Rate'!E$72:E$79,'Materials Rate'!B$72:B$79,'HT Cal'!B18)</f>
        <v>0</v>
      </c>
      <c r="H18" s="117">
        <f t="shared" si="3"/>
        <v>0</v>
      </c>
    </row>
    <row r="19" spans="1:8" ht="16.5" thickBot="1" x14ac:dyDescent="0.3">
      <c r="A19" s="105">
        <v>5</v>
      </c>
      <c r="B19" s="106"/>
      <c r="C19" s="93">
        <f>SUMIFS('HT Size'!H$18:H$22,'HT Size'!B$18:B$22,'HT Cal'!B19)</f>
        <v>0</v>
      </c>
      <c r="D19" s="93">
        <f>SUMIFS('Input Size'!M$18:M$22,'Input Size'!B$18:B$22,'HT Cal'!B19)</f>
        <v>0</v>
      </c>
      <c r="E19" s="93">
        <f t="shared" ref="E19" si="4">C19*C19*D19</f>
        <v>0</v>
      </c>
      <c r="F19" s="93">
        <f>SUMIFS(Density!C$9:C$69,Density!B$9:B$69,'HT Cal'!B19)</f>
        <v>0</v>
      </c>
      <c r="G19" s="119">
        <f>SUMIFS('Materials Rate'!E$72:E$79,'Materials Rate'!B$72:B$79,'HT Cal'!B19)</f>
        <v>0</v>
      </c>
      <c r="H19" s="120">
        <f t="shared" si="3"/>
        <v>0</v>
      </c>
    </row>
    <row r="20" spans="1:8" ht="15.75" x14ac:dyDescent="0.25">
      <c r="A20" s="282"/>
      <c r="B20" s="282"/>
      <c r="C20" s="282"/>
      <c r="D20" s="282"/>
      <c r="E20" s="282"/>
      <c r="F20" s="282"/>
      <c r="G20" s="108"/>
      <c r="H20" s="111"/>
    </row>
    <row r="21" spans="1:8" ht="15.75" x14ac:dyDescent="0.25">
      <c r="A21" s="81" t="s">
        <v>235</v>
      </c>
      <c r="B21" s="110"/>
      <c r="C21" s="110"/>
      <c r="D21" s="110"/>
      <c r="E21" s="110"/>
      <c r="F21" s="110"/>
      <c r="G21" s="110"/>
      <c r="H21" s="111"/>
    </row>
    <row r="22" spans="1:8" ht="16.5" thickBot="1" x14ac:dyDescent="0.3">
      <c r="A22" s="81"/>
      <c r="B22" s="110"/>
      <c r="C22" s="110"/>
      <c r="D22" s="110"/>
      <c r="E22" s="110"/>
      <c r="F22" s="110"/>
      <c r="G22" s="110"/>
      <c r="H22" s="111"/>
    </row>
    <row r="23" spans="1:8" s="37" customFormat="1" ht="15.75" x14ac:dyDescent="0.25">
      <c r="A23" s="139" t="s">
        <v>201</v>
      </c>
      <c r="B23" s="217" t="s">
        <v>224</v>
      </c>
      <c r="C23" s="140" t="s">
        <v>226</v>
      </c>
      <c r="D23" s="141" t="s">
        <v>236</v>
      </c>
      <c r="E23" s="142"/>
      <c r="F23" s="140" t="s">
        <v>268</v>
      </c>
      <c r="G23" s="140" t="s">
        <v>269</v>
      </c>
      <c r="H23" s="138" t="s">
        <v>245</v>
      </c>
    </row>
    <row r="24" spans="1:8" ht="15.75" x14ac:dyDescent="0.25">
      <c r="A24" s="103">
        <v>1</v>
      </c>
      <c r="B24" s="104"/>
      <c r="C24" s="79">
        <f>SUMIFS('HT Size'!H$29:H$33,'HT Size'!B$29:B$33,'HT Cal'!B24)</f>
        <v>0</v>
      </c>
      <c r="D24" s="79">
        <f>SUMIFS('HT Size'!M$29:M$33,'HT Size'!B$29:B$33,'HT Cal'!B24)</f>
        <v>0</v>
      </c>
      <c r="E24" s="79"/>
      <c r="F24" s="79">
        <f>((PI()*(D24*D24)/4)*C24)</f>
        <v>0</v>
      </c>
      <c r="G24" s="116">
        <f>SUMIFS('Materials Rate'!E$72:E$79,'Materials Rate'!B$72:B$79,'HT Cal'!B24)</f>
        <v>0</v>
      </c>
      <c r="H24" s="117">
        <f>F24*G24</f>
        <v>0</v>
      </c>
    </row>
    <row r="25" spans="1:8" ht="15.75" x14ac:dyDescent="0.25">
      <c r="A25" s="103">
        <v>2</v>
      </c>
      <c r="B25" s="104"/>
      <c r="C25" s="79">
        <f>SUMIFS('HT Size'!H$29:H$33,'HT Size'!B$29:B$33,'HT Cal'!B25)</f>
        <v>0</v>
      </c>
      <c r="D25" s="79">
        <f>SUMIFS('HT Size'!M$29:M$33,'HT Size'!B$29:B$33,'HT Cal'!B25)</f>
        <v>0</v>
      </c>
      <c r="E25" s="79"/>
      <c r="F25" s="79">
        <f t="shared" ref="F25:F28" si="5">((PI()*(D25*D25)/4)*C25)</f>
        <v>0</v>
      </c>
      <c r="G25" s="116">
        <f>SUMIFS('Materials Rate'!E$72:E$79,'Materials Rate'!B$72:B$79,'HT Cal'!B25)</f>
        <v>0</v>
      </c>
      <c r="H25" s="117">
        <f t="shared" ref="H25:H28" si="6">F25*G25</f>
        <v>0</v>
      </c>
    </row>
    <row r="26" spans="1:8" ht="15.75" x14ac:dyDescent="0.25">
      <c r="A26" s="103">
        <v>3</v>
      </c>
      <c r="B26" s="104"/>
      <c r="C26" s="79">
        <f>SUMIFS('HT Size'!H$29:H$33,'HT Size'!B$29:B$33,'HT Cal'!B26)</f>
        <v>0</v>
      </c>
      <c r="D26" s="79">
        <f>SUMIFS('HT Size'!M$29:M$33,'HT Size'!B$29:B$33,'HT Cal'!B26)</f>
        <v>0</v>
      </c>
      <c r="E26" s="79"/>
      <c r="F26" s="79">
        <f t="shared" si="5"/>
        <v>0</v>
      </c>
      <c r="G26" s="116">
        <f>SUMIFS('Materials Rate'!E$72:E$79,'Materials Rate'!B$72:B$79,'HT Cal'!B26)</f>
        <v>0</v>
      </c>
      <c r="H26" s="117">
        <f t="shared" si="6"/>
        <v>0</v>
      </c>
    </row>
    <row r="27" spans="1:8" ht="15.75" x14ac:dyDescent="0.25">
      <c r="A27" s="103">
        <v>4</v>
      </c>
      <c r="B27" s="104"/>
      <c r="C27" s="79">
        <f>SUMIFS('HT Size'!H$29:H$33,'HT Size'!B$29:B$33,'HT Cal'!B27)</f>
        <v>0</v>
      </c>
      <c r="D27" s="79">
        <f>SUMIFS('HT Size'!M$29:M$33,'HT Size'!B$29:B$33,'HT Cal'!B27)</f>
        <v>0</v>
      </c>
      <c r="E27" s="79"/>
      <c r="F27" s="79">
        <f t="shared" si="5"/>
        <v>0</v>
      </c>
      <c r="G27" s="116">
        <f>SUMIFS('Materials Rate'!E$72:E$79,'Materials Rate'!B$72:B$79,'HT Cal'!B27)</f>
        <v>0</v>
      </c>
      <c r="H27" s="117">
        <f t="shared" si="6"/>
        <v>0</v>
      </c>
    </row>
    <row r="28" spans="1:8" ht="16.5" thickBot="1" x14ac:dyDescent="0.3">
      <c r="A28" s="105">
        <v>5</v>
      </c>
      <c r="B28" s="106"/>
      <c r="C28" s="93">
        <f>SUMIFS('HT Size'!H$29:H$33,'HT Size'!B$29:B$33,'HT Cal'!B28)</f>
        <v>0</v>
      </c>
      <c r="D28" s="93">
        <f>SUMIFS('HT Size'!M$29:M$33,'HT Size'!B$29:B$33,'HT Cal'!B28)</f>
        <v>0</v>
      </c>
      <c r="E28" s="93"/>
      <c r="F28" s="93">
        <f t="shared" si="5"/>
        <v>0</v>
      </c>
      <c r="G28" s="119">
        <f>SUMIFS('Materials Rate'!E$72:E$79,'Materials Rate'!B$72:B$79,'HT Cal'!B28)</f>
        <v>0</v>
      </c>
      <c r="H28" s="120">
        <f t="shared" si="6"/>
        <v>0</v>
      </c>
    </row>
    <row r="29" spans="1:8" ht="15.75" x14ac:dyDescent="0.25">
      <c r="A29" s="282"/>
      <c r="B29" s="282"/>
      <c r="C29" s="282"/>
      <c r="D29" s="282"/>
      <c r="E29" s="282"/>
      <c r="F29" s="282"/>
      <c r="G29" s="108"/>
      <c r="H29" s="111"/>
    </row>
    <row r="30" spans="1:8" ht="15.75" x14ac:dyDescent="0.25">
      <c r="A30" s="81" t="s">
        <v>237</v>
      </c>
      <c r="B30" s="110"/>
      <c r="C30" s="110"/>
      <c r="D30" s="110"/>
      <c r="E30" s="110"/>
      <c r="F30" s="110"/>
      <c r="G30" s="110"/>
      <c r="H30" s="111"/>
    </row>
    <row r="31" spans="1:8" ht="16.5" thickBot="1" x14ac:dyDescent="0.3">
      <c r="A31" s="81"/>
      <c r="B31" s="110"/>
      <c r="C31" s="110"/>
      <c r="D31" s="110"/>
      <c r="E31" s="110"/>
      <c r="F31" s="110"/>
      <c r="G31" s="110"/>
      <c r="H31" s="111"/>
    </row>
    <row r="32" spans="1:8" s="36" customFormat="1" ht="16.5" thickBot="1" x14ac:dyDescent="0.3">
      <c r="A32" s="143" t="s">
        <v>201</v>
      </c>
      <c r="B32" s="216" t="s">
        <v>224</v>
      </c>
      <c r="C32" s="143" t="s">
        <v>226</v>
      </c>
      <c r="D32" s="143" t="s">
        <v>238</v>
      </c>
      <c r="E32" s="143" t="s">
        <v>239</v>
      </c>
      <c r="F32" s="143" t="s">
        <v>268</v>
      </c>
      <c r="G32" s="99" t="s">
        <v>270</v>
      </c>
      <c r="H32" s="143" t="s">
        <v>245</v>
      </c>
    </row>
    <row r="33" spans="1:8" ht="15.75" x14ac:dyDescent="0.25">
      <c r="A33" s="100">
        <v>1</v>
      </c>
      <c r="B33" s="101"/>
      <c r="C33" s="102">
        <f>SUMIFS('HT Size'!H$40:H$44,'HT Size'!B$40:B$44,'HT Cal'!B33)</f>
        <v>0</v>
      </c>
      <c r="D33" s="102">
        <f>SUMIFS('HT Size'!M$40:M$44,'HT Size'!B$40:B$44,'HT Cal'!B33)</f>
        <v>0</v>
      </c>
      <c r="E33" s="102">
        <f>SUMIFS('HT Size'!R$40:R$44,'HT Size'!B$40:B$44,'HT Cal'!B33)</f>
        <v>0</v>
      </c>
      <c r="F33" s="102">
        <f>((PI()*((D33*D33)-(E33*E33)))/4)*C33</f>
        <v>0</v>
      </c>
      <c r="G33" s="75">
        <f>SUMIFS('Materials Rate'!E$72:E$79,'Materials Rate'!B$72:B$79,'HT Cal'!B33)</f>
        <v>0</v>
      </c>
      <c r="H33" s="122">
        <f>G33*F33</f>
        <v>0</v>
      </c>
    </row>
    <row r="34" spans="1:8" ht="15.75" x14ac:dyDescent="0.25">
      <c r="A34" s="103">
        <v>2</v>
      </c>
      <c r="B34" s="104"/>
      <c r="C34" s="79">
        <f>SUMIFS('HT Size'!H$40:H$44,'HT Size'!B$40:B$44,'HT Cal'!B34)</f>
        <v>0</v>
      </c>
      <c r="D34" s="79">
        <f>SUMIFS('HT Size'!M$40:M$44,'HT Size'!B$40:B$44,'HT Cal'!B34)</f>
        <v>0</v>
      </c>
      <c r="E34" s="79">
        <f>SUMIFS('HT Size'!R$40:R$44,'HT Size'!B$40:B$44,'HT Cal'!B34)</f>
        <v>0</v>
      </c>
      <c r="F34" s="79">
        <f t="shared" ref="F34:F37" si="7">((PI()*((D34*D34)-(E34*E34)))/4)*C34</f>
        <v>0</v>
      </c>
      <c r="G34" s="79">
        <f>SUMIFS('Materials Rate'!E$72:E$79,'Materials Rate'!B$72:B$79,'HT Cal'!B34)</f>
        <v>0</v>
      </c>
      <c r="H34" s="89">
        <f t="shared" ref="H34:H37" si="8">G34*F34</f>
        <v>0</v>
      </c>
    </row>
    <row r="35" spans="1:8" ht="15.75" x14ac:dyDescent="0.25">
      <c r="A35" s="103">
        <v>3</v>
      </c>
      <c r="B35" s="104"/>
      <c r="C35" s="79">
        <f>SUMIFS('HT Size'!H$40:H$44,'HT Size'!B$40:B$44,'HT Cal'!B35)</f>
        <v>0</v>
      </c>
      <c r="D35" s="79">
        <f>SUMIFS('HT Size'!M$40:M$44,'HT Size'!B$40:B$44,'HT Cal'!B35)</f>
        <v>0</v>
      </c>
      <c r="E35" s="79">
        <f>SUMIFS('HT Size'!R$40:R$44,'HT Size'!B$40:B$44,'HT Cal'!B35)</f>
        <v>0</v>
      </c>
      <c r="F35" s="79">
        <f t="shared" si="7"/>
        <v>0</v>
      </c>
      <c r="G35" s="79">
        <f>SUMIFS('Materials Rate'!E$72:E$79,'Materials Rate'!B$72:B$79,'HT Cal'!B35)</f>
        <v>0</v>
      </c>
      <c r="H35" s="89">
        <f t="shared" si="8"/>
        <v>0</v>
      </c>
    </row>
    <row r="36" spans="1:8" ht="15.75" x14ac:dyDescent="0.25">
      <c r="A36" s="103">
        <v>4</v>
      </c>
      <c r="B36" s="104"/>
      <c r="C36" s="79">
        <f>SUMIFS('HT Size'!H$40:H$44,'HT Size'!B$40:B$44,'HT Cal'!B36)</f>
        <v>0</v>
      </c>
      <c r="D36" s="79">
        <f>SUMIFS('HT Size'!M$40:M$44,'HT Size'!B$40:B$44,'HT Cal'!B36)</f>
        <v>0</v>
      </c>
      <c r="E36" s="79">
        <f>SUMIFS('HT Size'!R$40:R$44,'HT Size'!B$40:B$44,'HT Cal'!B36)</f>
        <v>0</v>
      </c>
      <c r="F36" s="79">
        <f t="shared" si="7"/>
        <v>0</v>
      </c>
      <c r="G36" s="79">
        <f>SUMIFS('Materials Rate'!E$72:E$79,'Materials Rate'!B$72:B$79,'HT Cal'!B36)</f>
        <v>0</v>
      </c>
      <c r="H36" s="89">
        <f t="shared" si="8"/>
        <v>0</v>
      </c>
    </row>
    <row r="37" spans="1:8" ht="16.5" thickBot="1" x14ac:dyDescent="0.3">
      <c r="A37" s="105">
        <v>5</v>
      </c>
      <c r="B37" s="106"/>
      <c r="C37" s="93">
        <f>SUMIFS('HT Size'!H$40:H$44,'HT Size'!B$40:B$44,'HT Cal'!B37)</f>
        <v>0</v>
      </c>
      <c r="D37" s="93">
        <f>SUMIFS('HT Size'!M$40:M$44,'HT Size'!B$40:B$44,'HT Cal'!B37)</f>
        <v>0</v>
      </c>
      <c r="E37" s="93">
        <f>SUMIFS('HT Size'!R$40:R$44,'HT Size'!B$40:B$44,'HT Cal'!B37)</f>
        <v>0</v>
      </c>
      <c r="F37" s="93">
        <f t="shared" si="7"/>
        <v>0</v>
      </c>
      <c r="G37" s="93">
        <f>SUMIFS('Materials Rate'!E$72:E$79,'Materials Rate'!B$72:B$79,'HT Cal'!B37)</f>
        <v>0</v>
      </c>
      <c r="H37" s="94">
        <f t="shared" si="8"/>
        <v>0</v>
      </c>
    </row>
    <row r="38" spans="1:8" ht="15.75" x14ac:dyDescent="0.25">
      <c r="A38" s="282" t="s">
        <v>246</v>
      </c>
      <c r="B38" s="282"/>
      <c r="C38" s="282"/>
      <c r="D38" s="282"/>
      <c r="E38" s="282"/>
      <c r="F38" s="282"/>
      <c r="G38" s="282"/>
      <c r="H38" s="108">
        <f>SUM(H6:H37)</f>
        <v>0</v>
      </c>
    </row>
  </sheetData>
  <protectedRanges>
    <protectedRange sqref="A38:XFD1048576 A33:A37 A15:A19 A6:A10 A1:XFD5 I15:XFD19 F14 H11:XFD14 A11:D14 E11:G13 F23:G23 E20:G22 A20:D32 H20:XFD32 C15:F19 C6:XFD10 G14:G19 C33:XFD37 E24:G32" name="Range1"/>
  </protectedRanges>
  <mergeCells count="5">
    <mergeCell ref="A1:H1"/>
    <mergeCell ref="A11:G11"/>
    <mergeCell ref="A20:F20"/>
    <mergeCell ref="A29:F29"/>
    <mergeCell ref="A38:G38"/>
  </mergeCells>
  <dataValidations count="2">
    <dataValidation type="list" allowBlank="1" showInputMessage="1" showErrorMessage="1" sqref="B34:B37">
      <formula1>$B$72:$B$79</formula1>
    </dataValidation>
    <dataValidation type="list" allowBlank="1" showInputMessage="1" showErrorMessage="1" sqref="B6:B10">
      <formula1>$B$50:$B$57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Machining!$B$50:$B$57</xm:f>
          </x14:formula1>
          <xm:sqref>B24:B28</xm:sqref>
        </x14:dataValidation>
        <x14:dataValidation type="list" allowBlank="1" showInputMessage="1" showErrorMessage="1">
          <x14:formula1>
            <xm:f>Machining!$B$50:$B$56</xm:f>
          </x14:formula1>
          <xm:sqref>B16:B19</xm:sqref>
        </x14:dataValidation>
        <x14:dataValidation type="list" allowBlank="1" showInputMessage="1" showErrorMessage="1">
          <x14:formula1>
            <xm:f>'Materials Rate'!$B$72:$B$79</xm:f>
          </x14:formula1>
          <xm:sqref>B15 B33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/>
  </sheetPr>
  <dimension ref="A1:T44"/>
  <sheetViews>
    <sheetView topLeftCell="A14" zoomScaleNormal="100" workbookViewId="0">
      <selection activeCell="K31" sqref="K31"/>
    </sheetView>
  </sheetViews>
  <sheetFormatPr defaultColWidth="9.140625" defaultRowHeight="14.25" x14ac:dyDescent="0.2"/>
  <cols>
    <col min="1" max="1" width="3.42578125" style="30" customWidth="1"/>
    <col min="2" max="2" width="28.140625" style="30" customWidth="1"/>
    <col min="3" max="17" width="8.5703125" style="30" customWidth="1"/>
    <col min="18" max="18" width="6.5703125" style="30" bestFit="1" customWidth="1"/>
    <col min="19" max="16384" width="9.140625" style="30"/>
  </cols>
  <sheetData>
    <row r="1" spans="1:20" ht="21" x14ac:dyDescent="0.2">
      <c r="A1" s="281" t="s">
        <v>222</v>
      </c>
      <c r="B1" s="281"/>
      <c r="C1" s="281"/>
      <c r="D1" s="281"/>
      <c r="E1" s="281"/>
      <c r="F1" s="281"/>
      <c r="G1" s="281"/>
      <c r="H1" s="281"/>
      <c r="I1" s="281"/>
      <c r="J1" s="281"/>
      <c r="K1" s="281"/>
      <c r="L1" s="281"/>
      <c r="M1" s="281"/>
      <c r="N1" s="281"/>
      <c r="O1" s="281"/>
      <c r="P1" s="281"/>
      <c r="Q1" s="281"/>
      <c r="R1" s="281"/>
    </row>
    <row r="2" spans="1:20" ht="15" x14ac:dyDescent="0.25">
      <c r="A2" s="68"/>
      <c r="B2" s="68"/>
      <c r="C2" s="68"/>
      <c r="D2" s="68"/>
      <c r="E2" s="68"/>
      <c r="F2" s="68"/>
      <c r="G2" s="68"/>
      <c r="H2" s="68"/>
      <c r="I2" s="68"/>
      <c r="J2" s="68"/>
      <c r="K2" s="68"/>
      <c r="L2" s="68"/>
      <c r="M2" s="68"/>
      <c r="N2" s="68"/>
      <c r="O2" s="68"/>
      <c r="P2" s="68"/>
      <c r="Q2" s="68"/>
      <c r="R2" s="68"/>
    </row>
    <row r="3" spans="1:20" s="31" customFormat="1" ht="15.75" x14ac:dyDescent="0.25">
      <c r="A3" s="69" t="s">
        <v>223</v>
      </c>
      <c r="B3" s="69"/>
      <c r="C3" s="69"/>
      <c r="D3" s="69"/>
      <c r="E3" s="69"/>
      <c r="F3" s="69"/>
      <c r="G3" s="69"/>
      <c r="H3" s="69"/>
      <c r="I3" s="69"/>
      <c r="J3" s="69"/>
      <c r="K3" s="69"/>
      <c r="L3" s="69"/>
      <c r="M3" s="69"/>
      <c r="N3" s="69"/>
      <c r="O3" s="69"/>
      <c r="P3" s="69"/>
      <c r="Q3" s="69"/>
      <c r="R3" s="69"/>
    </row>
    <row r="4" spans="1:20" ht="15.75" thickBot="1" x14ac:dyDescent="0.3">
      <c r="A4" s="68"/>
      <c r="B4" s="68"/>
      <c r="C4" s="68"/>
      <c r="D4" s="68"/>
      <c r="E4" s="68"/>
      <c r="F4" s="68"/>
      <c r="G4" s="68"/>
      <c r="H4" s="68"/>
      <c r="I4" s="68"/>
      <c r="J4" s="68"/>
      <c r="K4" s="68"/>
      <c r="L4" s="68"/>
      <c r="M4" s="68"/>
      <c r="N4" s="68"/>
      <c r="O4" s="68"/>
      <c r="P4" s="68"/>
      <c r="Q4" s="68"/>
      <c r="R4" s="68"/>
    </row>
    <row r="5" spans="1:20" ht="15.75" thickBot="1" x14ac:dyDescent="0.3">
      <c r="A5" s="285" t="s">
        <v>201</v>
      </c>
      <c r="B5" s="292" t="s">
        <v>224</v>
      </c>
      <c r="C5" s="286" t="s">
        <v>225</v>
      </c>
      <c r="D5" s="287" t="s">
        <v>226</v>
      </c>
      <c r="E5" s="287"/>
      <c r="F5" s="287"/>
      <c r="G5" s="287"/>
      <c r="H5" s="287"/>
      <c r="I5" s="287" t="s">
        <v>227</v>
      </c>
      <c r="J5" s="287"/>
      <c r="K5" s="287"/>
      <c r="L5" s="287"/>
      <c r="M5" s="293"/>
      <c r="N5" s="287" t="s">
        <v>228</v>
      </c>
      <c r="O5" s="287"/>
      <c r="P5" s="287"/>
      <c r="Q5" s="287"/>
      <c r="R5" s="287"/>
      <c r="S5" s="32"/>
      <c r="T5" s="32"/>
    </row>
    <row r="6" spans="1:20" ht="15.75" thickBot="1" x14ac:dyDescent="0.3">
      <c r="A6" s="285"/>
      <c r="B6" s="292"/>
      <c r="C6" s="286"/>
      <c r="D6" s="163" t="s">
        <v>229</v>
      </c>
      <c r="E6" s="163" t="s">
        <v>230</v>
      </c>
      <c r="F6" s="163" t="s">
        <v>231</v>
      </c>
      <c r="G6" s="163" t="s">
        <v>232</v>
      </c>
      <c r="H6" s="164" t="s">
        <v>229</v>
      </c>
      <c r="I6" s="163" t="s">
        <v>229</v>
      </c>
      <c r="J6" s="163" t="s">
        <v>230</v>
      </c>
      <c r="K6" s="163" t="s">
        <v>231</v>
      </c>
      <c r="L6" s="200" t="s">
        <v>232</v>
      </c>
      <c r="M6" s="164" t="s">
        <v>229</v>
      </c>
      <c r="N6" s="201" t="s">
        <v>229</v>
      </c>
      <c r="O6" s="163" t="s">
        <v>230</v>
      </c>
      <c r="P6" s="163" t="s">
        <v>231</v>
      </c>
      <c r="Q6" s="163" t="s">
        <v>232</v>
      </c>
      <c r="R6" s="164" t="s">
        <v>229</v>
      </c>
      <c r="S6" s="32"/>
      <c r="T6" s="32"/>
    </row>
    <row r="7" spans="1:20" ht="15" x14ac:dyDescent="0.25">
      <c r="A7" s="84">
        <v>1</v>
      </c>
      <c r="B7" s="171" t="s">
        <v>87</v>
      </c>
      <c r="C7" s="206" t="s">
        <v>231</v>
      </c>
      <c r="D7" s="170"/>
      <c r="E7" s="170"/>
      <c r="F7" s="170"/>
      <c r="G7" s="194"/>
      <c r="H7" s="75">
        <f>(D7*1)+(E7*12)+(F7*0.0394)+(G7*39.37)</f>
        <v>0</v>
      </c>
      <c r="I7" s="197"/>
      <c r="J7" s="170"/>
      <c r="K7" s="170"/>
      <c r="L7" s="170"/>
      <c r="M7" s="75">
        <f>(I7*1)+(J7*12)+(K7*0.0394)+(L7*39.37)</f>
        <v>0</v>
      </c>
      <c r="N7" s="170"/>
      <c r="O7" s="170"/>
      <c r="P7" s="170"/>
      <c r="Q7" s="170"/>
      <c r="R7" s="85">
        <f>(N7*1)+(O7*12)+(P7*0.0394)+(Q7*39.37)</f>
        <v>0</v>
      </c>
      <c r="S7" s="32"/>
      <c r="T7" s="32"/>
    </row>
    <row r="8" spans="1:20" ht="15" x14ac:dyDescent="0.25">
      <c r="A8" s="88">
        <v>2</v>
      </c>
      <c r="B8" s="171"/>
      <c r="C8" s="207"/>
      <c r="D8" s="78"/>
      <c r="E8" s="78"/>
      <c r="F8" s="78"/>
      <c r="G8" s="195"/>
      <c r="H8" s="79">
        <f t="shared" ref="H8:H11" si="0">(D8*1)+(E8*12)+(F8*0.0394)+(G8*39.37)</f>
        <v>0</v>
      </c>
      <c r="I8" s="198"/>
      <c r="J8" s="78"/>
      <c r="K8" s="78"/>
      <c r="L8" s="78"/>
      <c r="M8" s="79">
        <f t="shared" ref="M8:M11" si="1">(I8*1)+(J8*12)+(K8*0.0394)+(L8*39.37)</f>
        <v>0</v>
      </c>
      <c r="N8" s="78"/>
      <c r="O8" s="78"/>
      <c r="P8" s="78"/>
      <c r="Q8" s="78"/>
      <c r="R8" s="89">
        <f t="shared" ref="R8:R11" si="2">(N8*1)+(O8*12)+(P8*0.0394)+(Q8*39.37)</f>
        <v>0</v>
      </c>
      <c r="S8" s="32"/>
      <c r="T8" s="32"/>
    </row>
    <row r="9" spans="1:20" ht="15" x14ac:dyDescent="0.25">
      <c r="A9" s="88">
        <v>3</v>
      </c>
      <c r="B9" s="171"/>
      <c r="C9" s="207"/>
      <c r="D9" s="78"/>
      <c r="E9" s="78"/>
      <c r="F9" s="78"/>
      <c r="G9" s="195"/>
      <c r="H9" s="79">
        <f t="shared" si="0"/>
        <v>0</v>
      </c>
      <c r="I9" s="198"/>
      <c r="J9" s="78"/>
      <c r="K9" s="78"/>
      <c r="L9" s="78"/>
      <c r="M9" s="79">
        <f t="shared" si="1"/>
        <v>0</v>
      </c>
      <c r="N9" s="78"/>
      <c r="O9" s="78"/>
      <c r="P9" s="78"/>
      <c r="Q9" s="78"/>
      <c r="R9" s="89">
        <f t="shared" si="2"/>
        <v>0</v>
      </c>
      <c r="S9" s="32"/>
      <c r="T9" s="32"/>
    </row>
    <row r="10" spans="1:20" ht="15" x14ac:dyDescent="0.25">
      <c r="A10" s="88">
        <v>4</v>
      </c>
      <c r="B10" s="171"/>
      <c r="C10" s="207"/>
      <c r="D10" s="78"/>
      <c r="E10" s="78"/>
      <c r="F10" s="78"/>
      <c r="G10" s="195"/>
      <c r="H10" s="79">
        <f t="shared" si="0"/>
        <v>0</v>
      </c>
      <c r="I10" s="198"/>
      <c r="J10" s="78"/>
      <c r="K10" s="78"/>
      <c r="L10" s="78"/>
      <c r="M10" s="79">
        <f t="shared" si="1"/>
        <v>0</v>
      </c>
      <c r="N10" s="78"/>
      <c r="O10" s="78"/>
      <c r="P10" s="78"/>
      <c r="Q10" s="78"/>
      <c r="R10" s="89">
        <f t="shared" si="2"/>
        <v>0</v>
      </c>
      <c r="S10" s="32"/>
      <c r="T10" s="32"/>
    </row>
    <row r="11" spans="1:20" ht="15.75" thickBot="1" x14ac:dyDescent="0.3">
      <c r="A11" s="90">
        <v>5</v>
      </c>
      <c r="B11" s="203"/>
      <c r="C11" s="208"/>
      <c r="D11" s="92"/>
      <c r="E11" s="92"/>
      <c r="F11" s="92"/>
      <c r="G11" s="196"/>
      <c r="H11" s="93">
        <f t="shared" si="0"/>
        <v>0</v>
      </c>
      <c r="I11" s="199"/>
      <c r="J11" s="92"/>
      <c r="K11" s="92"/>
      <c r="L11" s="92"/>
      <c r="M11" s="93">
        <f t="shared" si="1"/>
        <v>0</v>
      </c>
      <c r="N11" s="92"/>
      <c r="O11" s="92"/>
      <c r="P11" s="92"/>
      <c r="Q11" s="92"/>
      <c r="R11" s="94">
        <f t="shared" si="2"/>
        <v>0</v>
      </c>
      <c r="S11" s="32"/>
      <c r="T11" s="32"/>
    </row>
    <row r="12" spans="1:20" ht="15" x14ac:dyDescent="0.25">
      <c r="A12" s="80"/>
      <c r="B12" s="80"/>
      <c r="C12" s="209"/>
      <c r="D12" s="80"/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  <c r="S12" s="32"/>
      <c r="T12" s="32"/>
    </row>
    <row r="13" spans="1:20" ht="15" x14ac:dyDescent="0.25">
      <c r="A13" s="80"/>
      <c r="B13" s="80"/>
      <c r="C13" s="209"/>
      <c r="D13" s="80"/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  <c r="S13" s="32"/>
      <c r="T13" s="32"/>
    </row>
    <row r="14" spans="1:20" ht="15.75" x14ac:dyDescent="0.25">
      <c r="A14" s="81" t="s">
        <v>233</v>
      </c>
      <c r="B14" s="80"/>
      <c r="C14" s="209"/>
      <c r="D14" s="80"/>
      <c r="E14" s="80"/>
      <c r="F14" s="80"/>
      <c r="G14" s="80"/>
      <c r="H14" s="80"/>
      <c r="I14" s="80"/>
      <c r="J14" s="80"/>
      <c r="K14" s="80"/>
      <c r="L14" s="80"/>
      <c r="M14" s="80"/>
      <c r="N14" s="80"/>
      <c r="O14" s="80"/>
      <c r="P14" s="80"/>
      <c r="Q14" s="80"/>
      <c r="R14" s="80"/>
      <c r="S14" s="32"/>
      <c r="T14" s="32"/>
    </row>
    <row r="15" spans="1:20" ht="15.75" thickBot="1" x14ac:dyDescent="0.3">
      <c r="A15" s="80"/>
      <c r="B15" s="80"/>
      <c r="C15" s="209"/>
      <c r="D15" s="80"/>
      <c r="E15" s="80"/>
      <c r="F15" s="80"/>
      <c r="G15" s="80"/>
      <c r="H15" s="80"/>
      <c r="I15" s="80"/>
      <c r="J15" s="80"/>
      <c r="K15" s="80"/>
      <c r="L15" s="80"/>
      <c r="M15" s="80"/>
      <c r="N15" s="80"/>
      <c r="O15" s="80"/>
      <c r="P15" s="80"/>
      <c r="Q15" s="80"/>
      <c r="R15" s="80"/>
      <c r="S15" s="32"/>
      <c r="T15" s="32"/>
    </row>
    <row r="16" spans="1:20" ht="15.75" thickBot="1" x14ac:dyDescent="0.3">
      <c r="A16" s="285" t="s">
        <v>201</v>
      </c>
      <c r="B16" s="286" t="s">
        <v>224</v>
      </c>
      <c r="C16" s="286" t="s">
        <v>225</v>
      </c>
      <c r="D16" s="287" t="s">
        <v>234</v>
      </c>
      <c r="E16" s="287"/>
      <c r="F16" s="287"/>
      <c r="G16" s="287"/>
      <c r="H16" s="287"/>
      <c r="I16" s="287" t="s">
        <v>228</v>
      </c>
      <c r="J16" s="287"/>
      <c r="K16" s="287"/>
      <c r="L16" s="287"/>
      <c r="M16" s="287"/>
      <c r="N16" s="82"/>
      <c r="O16" s="82"/>
      <c r="P16" s="82"/>
      <c r="Q16" s="82"/>
      <c r="R16" s="82"/>
      <c r="S16" s="32"/>
      <c r="T16" s="32"/>
    </row>
    <row r="17" spans="1:20" ht="15.75" thickBot="1" x14ac:dyDescent="0.3">
      <c r="A17" s="285"/>
      <c r="B17" s="286"/>
      <c r="C17" s="286"/>
      <c r="D17" s="70" t="s">
        <v>229</v>
      </c>
      <c r="E17" s="70" t="s">
        <v>230</v>
      </c>
      <c r="F17" s="70" t="s">
        <v>231</v>
      </c>
      <c r="G17" s="70" t="s">
        <v>232</v>
      </c>
      <c r="H17" s="158" t="s">
        <v>229</v>
      </c>
      <c r="I17" s="70" t="s">
        <v>229</v>
      </c>
      <c r="J17" s="70" t="s">
        <v>230</v>
      </c>
      <c r="K17" s="70" t="s">
        <v>231</v>
      </c>
      <c r="L17" s="70" t="s">
        <v>232</v>
      </c>
      <c r="M17" s="158" t="s">
        <v>229</v>
      </c>
      <c r="N17" s="83"/>
      <c r="O17" s="83"/>
      <c r="P17" s="83"/>
      <c r="Q17" s="83"/>
      <c r="R17" s="83"/>
      <c r="S17" s="32"/>
      <c r="T17" s="32"/>
    </row>
    <row r="18" spans="1:20" ht="15" x14ac:dyDescent="0.25">
      <c r="A18" s="84">
        <v>1</v>
      </c>
      <c r="B18" s="73"/>
      <c r="C18" s="210" t="s">
        <v>231</v>
      </c>
      <c r="D18" s="74"/>
      <c r="E18" s="74"/>
      <c r="F18" s="74"/>
      <c r="G18" s="74"/>
      <c r="H18" s="75">
        <f>(D18*1)+(E18*12)+(F18*0.0394)+(G18*39.37)</f>
        <v>0</v>
      </c>
      <c r="I18" s="74"/>
      <c r="J18" s="74"/>
      <c r="K18" s="74"/>
      <c r="L18" s="74"/>
      <c r="M18" s="85">
        <f>(I18*1)+(J18*12)+(K18*0.0394)+(L18*39.37)</f>
        <v>0</v>
      </c>
      <c r="N18" s="86"/>
      <c r="O18" s="86"/>
      <c r="P18" s="86"/>
      <c r="Q18" s="86"/>
      <c r="R18" s="87"/>
      <c r="S18" s="32"/>
      <c r="T18" s="32"/>
    </row>
    <row r="19" spans="1:20" ht="15" x14ac:dyDescent="0.25">
      <c r="A19" s="88">
        <v>2</v>
      </c>
      <c r="B19" s="73"/>
      <c r="C19" s="211"/>
      <c r="D19" s="78"/>
      <c r="E19" s="78"/>
      <c r="F19" s="78"/>
      <c r="G19" s="78"/>
      <c r="H19" s="75">
        <f t="shared" ref="H19:H22" si="3">(D19*1)+(E19*12)+(F19*0.0394)+(G19*39.37)</f>
        <v>0</v>
      </c>
      <c r="I19" s="78"/>
      <c r="J19" s="78"/>
      <c r="K19" s="78"/>
      <c r="L19" s="78"/>
      <c r="M19" s="85">
        <f t="shared" ref="M19:M22" si="4">(I19*1)+(J19*12)+(K19*0.0394)+(L19*39.37)</f>
        <v>0</v>
      </c>
      <c r="N19" s="86"/>
      <c r="O19" s="86"/>
      <c r="P19" s="86"/>
      <c r="Q19" s="86"/>
      <c r="R19" s="87"/>
      <c r="S19" s="32"/>
      <c r="T19" s="32"/>
    </row>
    <row r="20" spans="1:20" ht="15" x14ac:dyDescent="0.25">
      <c r="A20" s="88">
        <v>3</v>
      </c>
      <c r="B20" s="73"/>
      <c r="C20" s="211"/>
      <c r="D20" s="78"/>
      <c r="E20" s="78"/>
      <c r="F20" s="78"/>
      <c r="G20" s="78"/>
      <c r="H20" s="75">
        <f t="shared" si="3"/>
        <v>0</v>
      </c>
      <c r="I20" s="78"/>
      <c r="J20" s="78"/>
      <c r="K20" s="78"/>
      <c r="L20" s="78"/>
      <c r="M20" s="85">
        <f t="shared" si="4"/>
        <v>0</v>
      </c>
      <c r="N20" s="86"/>
      <c r="O20" s="86"/>
      <c r="P20" s="86"/>
      <c r="Q20" s="86"/>
      <c r="R20" s="87"/>
      <c r="S20" s="32"/>
      <c r="T20" s="32"/>
    </row>
    <row r="21" spans="1:20" ht="15" x14ac:dyDescent="0.25">
      <c r="A21" s="88">
        <v>4</v>
      </c>
      <c r="B21" s="73"/>
      <c r="C21" s="211"/>
      <c r="D21" s="78"/>
      <c r="E21" s="78"/>
      <c r="F21" s="78"/>
      <c r="G21" s="78"/>
      <c r="H21" s="75">
        <f t="shared" si="3"/>
        <v>0</v>
      </c>
      <c r="I21" s="78"/>
      <c r="J21" s="78"/>
      <c r="K21" s="78"/>
      <c r="L21" s="78"/>
      <c r="M21" s="85">
        <f t="shared" si="4"/>
        <v>0</v>
      </c>
      <c r="N21" s="86"/>
      <c r="O21" s="86"/>
      <c r="P21" s="86"/>
      <c r="Q21" s="86"/>
      <c r="R21" s="87"/>
      <c r="S21" s="32"/>
      <c r="T21" s="32"/>
    </row>
    <row r="22" spans="1:20" ht="15.75" thickBot="1" x14ac:dyDescent="0.3">
      <c r="A22" s="90">
        <v>5</v>
      </c>
      <c r="B22" s="73"/>
      <c r="C22" s="212"/>
      <c r="D22" s="92"/>
      <c r="E22" s="92"/>
      <c r="F22" s="92"/>
      <c r="G22" s="92"/>
      <c r="H22" s="93">
        <f t="shared" si="3"/>
        <v>0</v>
      </c>
      <c r="I22" s="92"/>
      <c r="J22" s="92"/>
      <c r="K22" s="92"/>
      <c r="L22" s="92"/>
      <c r="M22" s="94">
        <f t="shared" si="4"/>
        <v>0</v>
      </c>
      <c r="N22" s="86"/>
      <c r="O22" s="86"/>
      <c r="P22" s="86"/>
      <c r="Q22" s="86"/>
      <c r="R22" s="87"/>
      <c r="S22" s="32"/>
      <c r="T22" s="32"/>
    </row>
    <row r="23" spans="1:20" ht="15" x14ac:dyDescent="0.25">
      <c r="A23" s="80"/>
      <c r="B23" s="80"/>
      <c r="C23" s="209"/>
      <c r="D23" s="80"/>
      <c r="E23" s="80"/>
      <c r="F23" s="80"/>
      <c r="G23" s="80"/>
      <c r="H23" s="80"/>
      <c r="I23" s="80"/>
      <c r="J23" s="80"/>
      <c r="K23" s="80"/>
      <c r="L23" s="80"/>
      <c r="M23" s="80"/>
      <c r="N23" s="80"/>
      <c r="O23" s="80"/>
      <c r="P23" s="80"/>
      <c r="Q23" s="80"/>
      <c r="R23" s="80"/>
      <c r="S23" s="32"/>
      <c r="T23" s="32"/>
    </row>
    <row r="24" spans="1:20" ht="15" x14ac:dyDescent="0.25">
      <c r="A24" s="80"/>
      <c r="B24" s="80"/>
      <c r="C24" s="209"/>
      <c r="D24" s="80"/>
      <c r="E24" s="80"/>
      <c r="F24" s="80"/>
      <c r="G24" s="80"/>
      <c r="H24" s="80"/>
      <c r="I24" s="80"/>
      <c r="J24" s="80"/>
      <c r="K24" s="80"/>
      <c r="L24" s="80"/>
      <c r="M24" s="80"/>
      <c r="N24" s="80"/>
      <c r="O24" s="80"/>
      <c r="P24" s="80"/>
      <c r="Q24" s="80"/>
      <c r="R24" s="80"/>
      <c r="S24" s="32"/>
      <c r="T24" s="32"/>
    </row>
    <row r="25" spans="1:20" ht="15.75" x14ac:dyDescent="0.25">
      <c r="A25" s="81" t="s">
        <v>235</v>
      </c>
      <c r="B25" s="80"/>
      <c r="C25" s="209"/>
      <c r="D25" s="80"/>
      <c r="E25" s="80"/>
      <c r="F25" s="80"/>
      <c r="G25" s="80"/>
      <c r="H25" s="80"/>
      <c r="I25" s="80"/>
      <c r="J25" s="80"/>
      <c r="K25" s="80"/>
      <c r="L25" s="80"/>
      <c r="M25" s="80"/>
      <c r="N25" s="80"/>
      <c r="O25" s="80"/>
      <c r="P25" s="80"/>
      <c r="Q25" s="80"/>
      <c r="R25" s="80"/>
      <c r="S25" s="32"/>
      <c r="T25" s="32"/>
    </row>
    <row r="26" spans="1:20" ht="15.75" thickBot="1" x14ac:dyDescent="0.3">
      <c r="A26" s="80"/>
      <c r="B26" s="80"/>
      <c r="C26" s="209"/>
      <c r="D26" s="80"/>
      <c r="E26" s="80"/>
      <c r="F26" s="80"/>
      <c r="G26" s="80"/>
      <c r="H26" s="80"/>
      <c r="I26" s="80"/>
      <c r="J26" s="80"/>
      <c r="K26" s="80"/>
      <c r="L26" s="80"/>
      <c r="M26" s="80"/>
      <c r="N26" s="80"/>
      <c r="O26" s="80"/>
      <c r="P26" s="80"/>
      <c r="Q26" s="80"/>
      <c r="R26" s="80"/>
      <c r="S26" s="32"/>
      <c r="T26" s="32"/>
    </row>
    <row r="27" spans="1:20" ht="15.75" thickBot="1" x14ac:dyDescent="0.3">
      <c r="A27" s="285" t="s">
        <v>201</v>
      </c>
      <c r="B27" s="286" t="s">
        <v>224</v>
      </c>
      <c r="C27" s="286" t="s">
        <v>225</v>
      </c>
      <c r="D27" s="287" t="s">
        <v>226</v>
      </c>
      <c r="E27" s="287"/>
      <c r="F27" s="287"/>
      <c r="G27" s="287"/>
      <c r="H27" s="287"/>
      <c r="I27" s="287" t="s">
        <v>236</v>
      </c>
      <c r="J27" s="287"/>
      <c r="K27" s="287"/>
      <c r="L27" s="287"/>
      <c r="M27" s="287"/>
      <c r="N27" s="80"/>
      <c r="O27" s="80"/>
      <c r="P27" s="95" t="s">
        <v>229</v>
      </c>
      <c r="Q27" s="80"/>
      <c r="R27" s="80"/>
      <c r="S27" s="32"/>
      <c r="T27" s="32"/>
    </row>
    <row r="28" spans="1:20" ht="15.75" thickBot="1" x14ac:dyDescent="0.3">
      <c r="A28" s="285"/>
      <c r="B28" s="286"/>
      <c r="C28" s="286"/>
      <c r="D28" s="163" t="s">
        <v>229</v>
      </c>
      <c r="E28" s="163" t="s">
        <v>230</v>
      </c>
      <c r="F28" s="163" t="s">
        <v>231</v>
      </c>
      <c r="G28" s="163" t="s">
        <v>232</v>
      </c>
      <c r="H28" s="164" t="s">
        <v>229</v>
      </c>
      <c r="I28" s="163" t="s">
        <v>229</v>
      </c>
      <c r="J28" s="163" t="s">
        <v>230</v>
      </c>
      <c r="K28" s="163" t="s">
        <v>231</v>
      </c>
      <c r="L28" s="163" t="s">
        <v>232</v>
      </c>
      <c r="M28" s="164" t="s">
        <v>229</v>
      </c>
      <c r="N28" s="80"/>
      <c r="O28" s="80"/>
      <c r="P28" s="95" t="s">
        <v>230</v>
      </c>
      <c r="Q28" s="80"/>
      <c r="R28" s="80"/>
      <c r="S28" s="32"/>
      <c r="T28" s="32"/>
    </row>
    <row r="29" spans="1:20" ht="15" x14ac:dyDescent="0.25">
      <c r="A29" s="84">
        <v>1</v>
      </c>
      <c r="B29" s="171"/>
      <c r="C29" s="206" t="s">
        <v>232</v>
      </c>
      <c r="D29" s="170"/>
      <c r="E29" s="170"/>
      <c r="F29" s="170"/>
      <c r="G29" s="170"/>
      <c r="H29" s="75">
        <f>(D29*1)+(E29*12)+(F29*0.0394)+(G29*39.37)</f>
        <v>0</v>
      </c>
      <c r="I29" s="170"/>
      <c r="J29" s="170"/>
      <c r="K29" s="170"/>
      <c r="L29" s="170"/>
      <c r="M29" s="85">
        <f>(I29*1)+(J29*12)+(K29*0.0394)+(L29*39.37)</f>
        <v>0</v>
      </c>
      <c r="N29" s="80"/>
      <c r="O29" s="80"/>
      <c r="P29" s="95" t="s">
        <v>231</v>
      </c>
      <c r="Q29" s="80"/>
      <c r="R29" s="80"/>
      <c r="S29" s="32"/>
      <c r="T29" s="32"/>
    </row>
    <row r="30" spans="1:20" ht="15" x14ac:dyDescent="0.25">
      <c r="A30" s="88">
        <v>2</v>
      </c>
      <c r="B30" s="171"/>
      <c r="C30" s="207"/>
      <c r="D30" s="78"/>
      <c r="E30" s="78"/>
      <c r="F30" s="78"/>
      <c r="G30" s="78"/>
      <c r="H30" s="79">
        <f t="shared" ref="H30:H33" si="5">(D30*1)+(E30*12)+(F30*0.0394)+(G30*39.37)</f>
        <v>0</v>
      </c>
      <c r="I30" s="78"/>
      <c r="J30" s="78"/>
      <c r="K30" s="78"/>
      <c r="L30" s="78"/>
      <c r="M30" s="89">
        <f t="shared" ref="M30:M33" si="6">(I30*1)+(J30*12)+(K30*0.0394)+(L30*39.37)</f>
        <v>0</v>
      </c>
      <c r="N30" s="80"/>
      <c r="O30" s="80"/>
      <c r="P30" s="95" t="s">
        <v>232</v>
      </c>
      <c r="Q30" s="80"/>
      <c r="R30" s="80"/>
      <c r="S30" s="32"/>
      <c r="T30" s="32"/>
    </row>
    <row r="31" spans="1:20" ht="15" x14ac:dyDescent="0.25">
      <c r="A31" s="88">
        <v>3</v>
      </c>
      <c r="B31" s="171"/>
      <c r="C31" s="207"/>
      <c r="D31" s="78"/>
      <c r="E31" s="78"/>
      <c r="F31" s="78"/>
      <c r="G31" s="78"/>
      <c r="H31" s="79">
        <f t="shared" si="5"/>
        <v>0</v>
      </c>
      <c r="I31" s="78"/>
      <c r="J31" s="78"/>
      <c r="K31" s="78"/>
      <c r="L31" s="78"/>
      <c r="M31" s="89">
        <f t="shared" si="6"/>
        <v>0</v>
      </c>
      <c r="N31" s="80"/>
      <c r="O31" s="80"/>
      <c r="P31" s="80"/>
      <c r="Q31" s="80"/>
      <c r="R31" s="80"/>
      <c r="S31" s="32"/>
      <c r="T31" s="32"/>
    </row>
    <row r="32" spans="1:20" ht="15" x14ac:dyDescent="0.25">
      <c r="A32" s="88">
        <v>4</v>
      </c>
      <c r="B32" s="171"/>
      <c r="C32" s="207"/>
      <c r="D32" s="78"/>
      <c r="E32" s="78"/>
      <c r="F32" s="78"/>
      <c r="G32" s="78"/>
      <c r="H32" s="79">
        <f t="shared" si="5"/>
        <v>0</v>
      </c>
      <c r="I32" s="78"/>
      <c r="J32" s="78"/>
      <c r="K32" s="78"/>
      <c r="L32" s="78"/>
      <c r="M32" s="89">
        <f t="shared" si="6"/>
        <v>0</v>
      </c>
      <c r="N32" s="80"/>
      <c r="O32" s="80"/>
      <c r="P32" s="80"/>
      <c r="Q32" s="80"/>
      <c r="R32" s="80"/>
      <c r="S32" s="32"/>
      <c r="T32" s="32"/>
    </row>
    <row r="33" spans="1:20" ht="15.75" thickBot="1" x14ac:dyDescent="0.3">
      <c r="A33" s="90">
        <v>5</v>
      </c>
      <c r="B33" s="225"/>
      <c r="C33" s="208"/>
      <c r="D33" s="92"/>
      <c r="E33" s="92"/>
      <c r="F33" s="92"/>
      <c r="G33" s="92"/>
      <c r="H33" s="93">
        <f t="shared" si="5"/>
        <v>0</v>
      </c>
      <c r="I33" s="92"/>
      <c r="J33" s="92"/>
      <c r="K33" s="92"/>
      <c r="L33" s="92"/>
      <c r="M33" s="94">
        <f t="shared" si="6"/>
        <v>0</v>
      </c>
      <c r="N33" s="80"/>
      <c r="O33" s="80"/>
      <c r="P33" s="80"/>
      <c r="Q33" s="80"/>
      <c r="R33" s="80"/>
      <c r="S33" s="32"/>
      <c r="T33" s="32"/>
    </row>
    <row r="34" spans="1:20" ht="15" x14ac:dyDescent="0.25">
      <c r="A34" s="80"/>
      <c r="B34" s="80"/>
      <c r="C34" s="209"/>
      <c r="D34" s="80"/>
      <c r="E34" s="80"/>
      <c r="F34" s="80"/>
      <c r="G34" s="80"/>
      <c r="H34" s="80"/>
      <c r="I34" s="80"/>
      <c r="J34" s="80"/>
      <c r="K34" s="80"/>
      <c r="L34" s="80"/>
      <c r="M34" s="80"/>
      <c r="N34" s="80"/>
      <c r="O34" s="80"/>
      <c r="P34" s="80"/>
      <c r="Q34" s="80"/>
      <c r="R34" s="80"/>
      <c r="S34" s="32"/>
      <c r="T34" s="32"/>
    </row>
    <row r="35" spans="1:20" ht="15" x14ac:dyDescent="0.25">
      <c r="A35" s="80"/>
      <c r="B35" s="80"/>
      <c r="C35" s="209"/>
      <c r="D35" s="80"/>
      <c r="E35" s="80"/>
      <c r="F35" s="80"/>
      <c r="G35" s="80"/>
      <c r="H35" s="80"/>
      <c r="I35" s="80"/>
      <c r="J35" s="80"/>
      <c r="K35" s="80"/>
      <c r="L35" s="80"/>
      <c r="M35" s="80"/>
      <c r="N35" s="80"/>
      <c r="O35" s="80"/>
      <c r="P35" s="80"/>
      <c r="Q35" s="80"/>
      <c r="R35" s="80"/>
      <c r="S35" s="32"/>
      <c r="T35" s="32"/>
    </row>
    <row r="36" spans="1:20" s="31" customFormat="1" ht="15.75" x14ac:dyDescent="0.25">
      <c r="A36" s="81" t="s">
        <v>237</v>
      </c>
      <c r="B36" s="81"/>
      <c r="C36" s="213"/>
      <c r="D36" s="81"/>
      <c r="E36" s="81"/>
      <c r="F36" s="81"/>
      <c r="G36" s="81"/>
      <c r="H36" s="81"/>
      <c r="I36" s="81"/>
      <c r="J36" s="81"/>
      <c r="K36" s="81"/>
      <c r="L36" s="81"/>
      <c r="M36" s="81"/>
      <c r="N36" s="81"/>
      <c r="O36" s="81"/>
      <c r="P36" s="81"/>
      <c r="Q36" s="81"/>
      <c r="R36" s="81"/>
      <c r="S36" s="33"/>
      <c r="T36" s="33"/>
    </row>
    <row r="37" spans="1:20" ht="15.75" thickBot="1" x14ac:dyDescent="0.3">
      <c r="A37" s="80"/>
      <c r="B37" s="80"/>
      <c r="C37" s="209"/>
      <c r="D37" s="80"/>
      <c r="E37" s="80"/>
      <c r="F37" s="80"/>
      <c r="G37" s="80"/>
      <c r="H37" s="80"/>
      <c r="I37" s="80"/>
      <c r="J37" s="80"/>
      <c r="K37" s="80"/>
      <c r="L37" s="80"/>
      <c r="M37" s="80"/>
      <c r="N37" s="80"/>
      <c r="O37" s="80"/>
      <c r="P37" s="80"/>
      <c r="Q37" s="80"/>
      <c r="R37" s="80"/>
      <c r="S37" s="32"/>
      <c r="T37" s="32"/>
    </row>
    <row r="38" spans="1:20" ht="15" x14ac:dyDescent="0.25">
      <c r="A38" s="288" t="s">
        <v>201</v>
      </c>
      <c r="B38" s="290" t="s">
        <v>224</v>
      </c>
      <c r="C38" s="290" t="s">
        <v>225</v>
      </c>
      <c r="D38" s="283" t="s">
        <v>226</v>
      </c>
      <c r="E38" s="283"/>
      <c r="F38" s="283"/>
      <c r="G38" s="283"/>
      <c r="H38" s="283"/>
      <c r="I38" s="283" t="s">
        <v>238</v>
      </c>
      <c r="J38" s="283"/>
      <c r="K38" s="283"/>
      <c r="L38" s="283"/>
      <c r="M38" s="283"/>
      <c r="N38" s="283" t="s">
        <v>239</v>
      </c>
      <c r="O38" s="283"/>
      <c r="P38" s="283"/>
      <c r="Q38" s="283"/>
      <c r="R38" s="284"/>
      <c r="S38" s="32"/>
      <c r="T38" s="32"/>
    </row>
    <row r="39" spans="1:20" ht="15" x14ac:dyDescent="0.25">
      <c r="A39" s="289"/>
      <c r="B39" s="291"/>
      <c r="C39" s="291"/>
      <c r="D39" s="204" t="s">
        <v>229</v>
      </c>
      <c r="E39" s="204" t="s">
        <v>230</v>
      </c>
      <c r="F39" s="204" t="s">
        <v>231</v>
      </c>
      <c r="G39" s="204" t="s">
        <v>232</v>
      </c>
      <c r="H39" s="202" t="s">
        <v>229</v>
      </c>
      <c r="I39" s="204" t="s">
        <v>229</v>
      </c>
      <c r="J39" s="204" t="s">
        <v>230</v>
      </c>
      <c r="K39" s="204" t="s">
        <v>231</v>
      </c>
      <c r="L39" s="204" t="s">
        <v>232</v>
      </c>
      <c r="M39" s="202" t="s">
        <v>229</v>
      </c>
      <c r="N39" s="204" t="s">
        <v>229</v>
      </c>
      <c r="O39" s="204" t="s">
        <v>230</v>
      </c>
      <c r="P39" s="204" t="s">
        <v>231</v>
      </c>
      <c r="Q39" s="204" t="s">
        <v>232</v>
      </c>
      <c r="R39" s="205" t="s">
        <v>229</v>
      </c>
      <c r="S39" s="32"/>
      <c r="T39" s="32"/>
    </row>
    <row r="40" spans="1:20" ht="15" x14ac:dyDescent="0.25">
      <c r="A40" s="88">
        <v>1</v>
      </c>
      <c r="B40" s="77" t="s">
        <v>87</v>
      </c>
      <c r="C40" s="211" t="s">
        <v>229</v>
      </c>
      <c r="D40" s="78"/>
      <c r="E40" s="78"/>
      <c r="F40" s="78"/>
      <c r="G40" s="78"/>
      <c r="H40" s="79">
        <f>(D40*1)+(E40*12)+(F40*0.0394)+(G40*39.37)</f>
        <v>0</v>
      </c>
      <c r="I40" s="78"/>
      <c r="J40" s="78"/>
      <c r="K40" s="78"/>
      <c r="L40" s="78"/>
      <c r="M40" s="79">
        <f>(I40*1)+(J40*12)+(K40*0.0394)+(L40*39.37)</f>
        <v>0</v>
      </c>
      <c r="N40" s="78"/>
      <c r="O40" s="78"/>
      <c r="P40" s="78"/>
      <c r="Q40" s="78"/>
      <c r="R40" s="89">
        <f>(N40*1)+(O40*12)+(P40*0.0394)+(Q40*39.37)</f>
        <v>0</v>
      </c>
      <c r="S40" s="32"/>
      <c r="T40" s="32"/>
    </row>
    <row r="41" spans="1:20" ht="15" x14ac:dyDescent="0.25">
      <c r="A41" s="88">
        <v>2</v>
      </c>
      <c r="B41" s="77"/>
      <c r="C41" s="211"/>
      <c r="D41" s="78"/>
      <c r="E41" s="78"/>
      <c r="F41" s="78"/>
      <c r="G41" s="78"/>
      <c r="H41" s="79">
        <f t="shared" ref="H41:H44" si="7">(D41*1)+(E41*12)+(F41*0.0394)+(G41*39.37)</f>
        <v>0</v>
      </c>
      <c r="I41" s="78"/>
      <c r="J41" s="78"/>
      <c r="K41" s="78"/>
      <c r="L41" s="78"/>
      <c r="M41" s="79">
        <f t="shared" ref="M41:M44" si="8">(I41*1)+(J41*12)+(K41*0.0394)+(L41*39.37)</f>
        <v>0</v>
      </c>
      <c r="N41" s="78"/>
      <c r="O41" s="78"/>
      <c r="P41" s="78"/>
      <c r="Q41" s="78"/>
      <c r="R41" s="89">
        <f t="shared" ref="R41:R44" si="9">(N41*1)+(O41*12)+(P41*0.0394)+(Q41*39.37)</f>
        <v>0</v>
      </c>
      <c r="S41" s="32"/>
      <c r="T41" s="32"/>
    </row>
    <row r="42" spans="1:20" ht="15" x14ac:dyDescent="0.25">
      <c r="A42" s="88">
        <v>3</v>
      </c>
      <c r="B42" s="77"/>
      <c r="C42" s="211"/>
      <c r="D42" s="78"/>
      <c r="E42" s="78"/>
      <c r="F42" s="78"/>
      <c r="G42" s="78"/>
      <c r="H42" s="79">
        <f t="shared" si="7"/>
        <v>0</v>
      </c>
      <c r="I42" s="78"/>
      <c r="J42" s="78"/>
      <c r="K42" s="78"/>
      <c r="L42" s="78"/>
      <c r="M42" s="79">
        <f t="shared" si="8"/>
        <v>0</v>
      </c>
      <c r="N42" s="78"/>
      <c r="O42" s="78"/>
      <c r="P42" s="78"/>
      <c r="Q42" s="78"/>
      <c r="R42" s="89">
        <f t="shared" si="9"/>
        <v>0</v>
      </c>
      <c r="S42" s="32"/>
      <c r="T42" s="32"/>
    </row>
    <row r="43" spans="1:20" ht="15" x14ac:dyDescent="0.25">
      <c r="A43" s="88">
        <v>4</v>
      </c>
      <c r="B43" s="77"/>
      <c r="C43" s="211"/>
      <c r="D43" s="78"/>
      <c r="E43" s="78"/>
      <c r="F43" s="78"/>
      <c r="G43" s="78"/>
      <c r="H43" s="79">
        <f t="shared" si="7"/>
        <v>0</v>
      </c>
      <c r="I43" s="78"/>
      <c r="J43" s="78"/>
      <c r="K43" s="78"/>
      <c r="L43" s="78"/>
      <c r="M43" s="79">
        <f t="shared" si="8"/>
        <v>0</v>
      </c>
      <c r="N43" s="78"/>
      <c r="O43" s="78"/>
      <c r="P43" s="78"/>
      <c r="Q43" s="78"/>
      <c r="R43" s="89">
        <f t="shared" si="9"/>
        <v>0</v>
      </c>
      <c r="S43" s="32"/>
      <c r="T43" s="32"/>
    </row>
    <row r="44" spans="1:20" ht="15.75" thickBot="1" x14ac:dyDescent="0.3">
      <c r="A44" s="90">
        <v>5</v>
      </c>
      <c r="B44" s="91"/>
      <c r="C44" s="212"/>
      <c r="D44" s="92"/>
      <c r="E44" s="92"/>
      <c r="F44" s="92"/>
      <c r="G44" s="92"/>
      <c r="H44" s="93">
        <f t="shared" si="7"/>
        <v>0</v>
      </c>
      <c r="I44" s="92"/>
      <c r="J44" s="92"/>
      <c r="K44" s="92"/>
      <c r="L44" s="92"/>
      <c r="M44" s="93">
        <f t="shared" si="8"/>
        <v>0</v>
      </c>
      <c r="N44" s="92"/>
      <c r="O44" s="92"/>
      <c r="P44" s="92"/>
      <c r="Q44" s="92"/>
      <c r="R44" s="94">
        <f t="shared" si="9"/>
        <v>0</v>
      </c>
      <c r="S44" s="32"/>
      <c r="T44" s="32"/>
    </row>
  </sheetData>
  <mergeCells count="23">
    <mergeCell ref="A1:R1"/>
    <mergeCell ref="A5:A6"/>
    <mergeCell ref="B5:B6"/>
    <mergeCell ref="C5:C6"/>
    <mergeCell ref="D5:H5"/>
    <mergeCell ref="I5:M5"/>
    <mergeCell ref="N5:R5"/>
    <mergeCell ref="N38:R38"/>
    <mergeCell ref="A16:A17"/>
    <mergeCell ref="B16:B17"/>
    <mergeCell ref="C16:C17"/>
    <mergeCell ref="D16:H16"/>
    <mergeCell ref="I16:M16"/>
    <mergeCell ref="A27:A28"/>
    <mergeCell ref="B27:B28"/>
    <mergeCell ref="C27:C28"/>
    <mergeCell ref="D27:H27"/>
    <mergeCell ref="I27:M27"/>
    <mergeCell ref="A38:A39"/>
    <mergeCell ref="B38:B39"/>
    <mergeCell ref="C38:C39"/>
    <mergeCell ref="D38:H38"/>
    <mergeCell ref="I38:M38"/>
  </mergeCells>
  <dataValidations count="3">
    <dataValidation type="list" allowBlank="1" showInputMessage="1" showErrorMessage="1" sqref="C7:C11 C18:C22 C29:C33 C40">
      <formula1>$P$27:$P$30</formula1>
    </dataValidation>
    <dataValidation type="list" allowBlank="1" showInputMessage="1" showErrorMessage="1" sqref="C41:C44">
      <formula1>$T$7:$T$9</formula1>
    </dataValidation>
    <dataValidation type="list" allowBlank="1" showInputMessage="1" showErrorMessage="1" sqref="B40:B44">
      <formula1>$B$50:$B$57</formula1>
    </dataValidation>
  </dataValidations>
  <pageMargins left="0.7" right="0.7" top="0.75" bottom="0.75" header="0.3" footer="0.3"/>
  <pageSetup orientation="portrait" horizontalDpi="0" verticalDpi="0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Machining!$B$50:$B$56</xm:f>
          </x14:formula1>
          <xm:sqref>B7:B11</xm:sqref>
        </x14:dataValidation>
        <x14:dataValidation type="list" allowBlank="1" showInputMessage="1" showErrorMessage="1">
          <x14:formula1>
            <xm:f>Machining!$B$50:$B$57</xm:f>
          </x14:formula1>
          <xm:sqref>B18:B22 B29:B33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/>
  </sheetPr>
  <dimension ref="A1:I38"/>
  <sheetViews>
    <sheetView topLeftCell="A4" workbookViewId="0">
      <selection activeCell="G40" sqref="G40"/>
    </sheetView>
  </sheetViews>
  <sheetFormatPr defaultColWidth="9.140625" defaultRowHeight="15" x14ac:dyDescent="0.2"/>
  <cols>
    <col min="1" max="1" width="7.42578125" style="35" customWidth="1"/>
    <col min="2" max="2" width="19.42578125" style="35" customWidth="1"/>
    <col min="3" max="3" width="11.85546875" style="35" bestFit="1" customWidth="1"/>
    <col min="4" max="4" width="11.5703125" style="35" bestFit="1" customWidth="1"/>
    <col min="5" max="5" width="13.5703125" style="35" bestFit="1" customWidth="1"/>
    <col min="6" max="7" width="16.42578125" style="35" bestFit="1" customWidth="1"/>
    <col min="8" max="8" width="13.7109375" style="35" bestFit="1" customWidth="1"/>
    <col min="9" max="16384" width="9.140625" style="35"/>
  </cols>
  <sheetData>
    <row r="1" spans="1:8" s="34" customFormat="1" ht="21" x14ac:dyDescent="0.3">
      <c r="A1" s="281" t="s">
        <v>240</v>
      </c>
      <c r="B1" s="281"/>
      <c r="C1" s="281"/>
      <c r="D1" s="281"/>
      <c r="E1" s="281"/>
      <c r="F1" s="281"/>
      <c r="G1" s="281"/>
      <c r="H1" s="281"/>
    </row>
    <row r="2" spans="1:8" ht="15.75" x14ac:dyDescent="0.25">
      <c r="A2" s="96"/>
      <c r="B2" s="96"/>
      <c r="C2" s="96"/>
      <c r="D2" s="96"/>
      <c r="E2" s="96"/>
      <c r="F2" s="96"/>
      <c r="G2" s="96"/>
      <c r="H2" s="97"/>
    </row>
    <row r="3" spans="1:8" ht="15.75" x14ac:dyDescent="0.25">
      <c r="A3" s="98" t="s">
        <v>223</v>
      </c>
      <c r="B3" s="96"/>
      <c r="C3" s="96"/>
      <c r="D3" s="96"/>
      <c r="E3" s="96"/>
      <c r="F3" s="96"/>
      <c r="G3" s="96"/>
      <c r="H3" s="97"/>
    </row>
    <row r="4" spans="1:8" ht="16.5" thickBot="1" x14ac:dyDescent="0.3">
      <c r="A4" s="98"/>
      <c r="B4" s="96"/>
      <c r="C4" s="96"/>
      <c r="D4" s="96"/>
      <c r="E4" s="96"/>
      <c r="F4" s="96"/>
      <c r="G4" s="96"/>
      <c r="H4" s="97"/>
    </row>
    <row r="5" spans="1:8" s="36" customFormat="1" ht="16.5" thickBot="1" x14ac:dyDescent="0.3">
      <c r="A5" s="99" t="s">
        <v>201</v>
      </c>
      <c r="B5" s="214" t="s">
        <v>224</v>
      </c>
      <c r="C5" s="99" t="s">
        <v>226</v>
      </c>
      <c r="D5" s="99" t="s">
        <v>227</v>
      </c>
      <c r="E5" s="99" t="s">
        <v>241</v>
      </c>
      <c r="F5" s="99" t="s">
        <v>242</v>
      </c>
      <c r="G5" s="99" t="s">
        <v>243</v>
      </c>
      <c r="H5" s="99" t="s">
        <v>244</v>
      </c>
    </row>
    <row r="6" spans="1:8" ht="15.75" x14ac:dyDescent="0.25">
      <c r="A6" s="100">
        <v>1</v>
      </c>
      <c r="B6" s="101"/>
      <c r="C6" s="102">
        <f>SUMIFS('Input Size'!H$7:H$11,'Input Size'!B$7:B$11,'Weight Cal'!B6)</f>
        <v>0</v>
      </c>
      <c r="D6" s="102">
        <f>SUMIFS('Input Size'!M$7:M$11,'Input Size'!B$7:B$11,'Weight Cal'!B6)</f>
        <v>0</v>
      </c>
      <c r="E6" s="102">
        <f>SUMIFS('Input Size'!R$7:R$11,'Input Size'!B$7:B$11,'Weight Cal'!B6)</f>
        <v>0</v>
      </c>
      <c r="F6" s="102">
        <f>E6*D6*C6</f>
        <v>0</v>
      </c>
      <c r="G6" s="102">
        <f>SUMIFS(Density!C$9:C$69,Density!B$9:B$69,'Weight Cal'!B6)</f>
        <v>0</v>
      </c>
      <c r="H6" s="89">
        <f t="shared" ref="H6:H10" si="0">G6*F6</f>
        <v>0</v>
      </c>
    </row>
    <row r="7" spans="1:8" ht="15.75" x14ac:dyDescent="0.25">
      <c r="A7" s="103">
        <v>2</v>
      </c>
      <c r="B7" s="104"/>
      <c r="C7" s="75">
        <f>SUMIFS('Input Size'!H$7:H$11,'Input Size'!B$7:B$11,'Weight Cal'!B7)</f>
        <v>0</v>
      </c>
      <c r="D7" s="75">
        <f>SUMIFS('Input Size'!M$7:M$11,'Input Size'!B$7:B$11,'Weight Cal'!B7)</f>
        <v>0</v>
      </c>
      <c r="E7" s="75">
        <f>SUMIFS('Input Size'!R$7:R$11,'Input Size'!B$7:B$11,'Weight Cal'!B7)</f>
        <v>0</v>
      </c>
      <c r="F7" s="75">
        <f t="shared" ref="F7:F10" si="1">E7*D7*C7</f>
        <v>0</v>
      </c>
      <c r="G7" s="79">
        <f>SUMIFS(Density!C$9:C$69,Density!B$9:B$69,'Weight Cal'!B7)</f>
        <v>0</v>
      </c>
      <c r="H7" s="89">
        <f t="shared" si="0"/>
        <v>0</v>
      </c>
    </row>
    <row r="8" spans="1:8" ht="15.75" x14ac:dyDescent="0.25">
      <c r="A8" s="103">
        <v>3</v>
      </c>
      <c r="B8" s="104"/>
      <c r="C8" s="75">
        <f>SUMIFS('Input Size'!H$7:H$11,'Input Size'!B$7:B$11,'Weight Cal'!B8)</f>
        <v>0</v>
      </c>
      <c r="D8" s="75">
        <f>SUMIFS('Input Size'!M$7:M$11,'Input Size'!B$7:B$11,'Weight Cal'!B8)</f>
        <v>0</v>
      </c>
      <c r="E8" s="75">
        <f>SUMIFS('Input Size'!R$7:R$11,'Input Size'!B$7:B$11,'Weight Cal'!B8)</f>
        <v>0</v>
      </c>
      <c r="F8" s="75">
        <f t="shared" si="1"/>
        <v>0</v>
      </c>
      <c r="G8" s="79">
        <f>SUMIFS(Density!C$9:C$69,Density!B$9:B$69,'Weight Cal'!B8)</f>
        <v>0</v>
      </c>
      <c r="H8" s="89">
        <f t="shared" si="0"/>
        <v>0</v>
      </c>
    </row>
    <row r="9" spans="1:8" ht="15.75" x14ac:dyDescent="0.25">
      <c r="A9" s="103">
        <v>4</v>
      </c>
      <c r="B9" s="104"/>
      <c r="C9" s="75">
        <f>SUMIFS('Input Size'!H$7:H$11,'Input Size'!B$7:B$11,'Weight Cal'!B9)</f>
        <v>0</v>
      </c>
      <c r="D9" s="75">
        <f>SUMIFS('Input Size'!M$7:M$11,'Input Size'!B$7:B$11,'Weight Cal'!B9)</f>
        <v>0</v>
      </c>
      <c r="E9" s="75">
        <f>SUMIFS('Input Size'!R$7:R$11,'Input Size'!B$7:B$11,'Weight Cal'!B9)</f>
        <v>0</v>
      </c>
      <c r="F9" s="75">
        <f t="shared" si="1"/>
        <v>0</v>
      </c>
      <c r="G9" s="79">
        <f>SUMIFS(Density!C$9:C$69,Density!B$9:B$69,'Weight Cal'!B9)</f>
        <v>0</v>
      </c>
      <c r="H9" s="89">
        <f t="shared" si="0"/>
        <v>0</v>
      </c>
    </row>
    <row r="10" spans="1:8" ht="16.5" thickBot="1" x14ac:dyDescent="0.3">
      <c r="A10" s="105">
        <v>5</v>
      </c>
      <c r="B10" s="106"/>
      <c r="C10" s="107">
        <f>SUMIFS('Input Size'!H$7:H$11,'Input Size'!B$7:B$11,'Weight Cal'!B10)</f>
        <v>0</v>
      </c>
      <c r="D10" s="107">
        <f>SUMIFS('Input Size'!M$7:M$11,'Input Size'!B$7:B$11,'Weight Cal'!B10)</f>
        <v>0</v>
      </c>
      <c r="E10" s="107">
        <f>SUMIFS('Input Size'!R$7:R$11,'Input Size'!B$7:B$11,'Weight Cal'!B10)</f>
        <v>0</v>
      </c>
      <c r="F10" s="107">
        <f t="shared" si="1"/>
        <v>0</v>
      </c>
      <c r="G10" s="93">
        <f>SUMIFS(Density!C$9:C$69,Density!B$9:B$69,'Weight Cal'!B10)</f>
        <v>0</v>
      </c>
      <c r="H10" s="94">
        <f t="shared" si="0"/>
        <v>0</v>
      </c>
    </row>
    <row r="11" spans="1:8" ht="15.75" x14ac:dyDescent="0.25">
      <c r="A11" s="282"/>
      <c r="B11" s="282"/>
      <c r="C11" s="282"/>
      <c r="D11" s="282"/>
      <c r="E11" s="282"/>
      <c r="F11" s="282"/>
      <c r="G11" s="282"/>
      <c r="H11" s="108"/>
    </row>
    <row r="12" spans="1:8" ht="15.75" x14ac:dyDescent="0.25">
      <c r="A12" s="109" t="s">
        <v>233</v>
      </c>
      <c r="B12" s="110"/>
      <c r="C12" s="110"/>
      <c r="D12" s="110"/>
      <c r="E12" s="110"/>
      <c r="F12" s="110"/>
      <c r="G12" s="110"/>
      <c r="H12" s="111"/>
    </row>
    <row r="13" spans="1:8" ht="16.5" thickBot="1" x14ac:dyDescent="0.3">
      <c r="A13" s="109"/>
      <c r="B13" s="110"/>
      <c r="C13" s="110"/>
      <c r="D13" s="110"/>
      <c r="E13" s="110"/>
      <c r="F13" s="110"/>
      <c r="G13" s="110"/>
      <c r="H13" s="111"/>
    </row>
    <row r="14" spans="1:8" s="36" customFormat="1" ht="16.5" thickBot="1" x14ac:dyDescent="0.3">
      <c r="A14" s="99" t="s">
        <v>201</v>
      </c>
      <c r="B14" s="214" t="s">
        <v>224</v>
      </c>
      <c r="C14" s="99" t="s">
        <v>234</v>
      </c>
      <c r="D14" s="99" t="s">
        <v>241</v>
      </c>
      <c r="E14" s="99" t="s">
        <v>242</v>
      </c>
      <c r="F14" s="99" t="s">
        <v>243</v>
      </c>
      <c r="G14" s="112"/>
      <c r="H14" s="99" t="s">
        <v>245</v>
      </c>
    </row>
    <row r="15" spans="1:8" ht="16.5" customHeight="1" x14ac:dyDescent="0.25">
      <c r="A15" s="100">
        <v>1</v>
      </c>
      <c r="B15" s="101"/>
      <c r="C15" s="102">
        <f>SUMIFS('Input Size'!H$18:H$22,'Input Size'!B$18:B$22,'Weight Cal'!B15)</f>
        <v>0</v>
      </c>
      <c r="D15" s="102">
        <f>SUMIFS('Input Size'!M$18:M$22,'Input Size'!B$18:B$22,'Weight Cal'!B15)</f>
        <v>0</v>
      </c>
      <c r="E15" s="102">
        <f>C15*C15*D15</f>
        <v>0</v>
      </c>
      <c r="F15" s="102">
        <f>SUMIFS(Density!C$9:C$69,Density!B$9:B$69,'Weight Cal'!B15)</f>
        <v>0</v>
      </c>
      <c r="G15" s="113"/>
      <c r="H15" s="114">
        <f>F15*E15</f>
        <v>0</v>
      </c>
    </row>
    <row r="16" spans="1:8" ht="15.75" customHeight="1" x14ac:dyDescent="0.25">
      <c r="A16" s="103">
        <v>2</v>
      </c>
      <c r="B16" s="115"/>
      <c r="C16" s="75">
        <f>SUMIFS('Input Size'!H$18:H$22,'Input Size'!B$18:B$22,'Weight Cal'!B16)</f>
        <v>0</v>
      </c>
      <c r="D16" s="75">
        <f>SUMIFS('Input Size'!M$18:M$22,'Input Size'!B$18:B$22,'Weight Cal'!B16)</f>
        <v>0</v>
      </c>
      <c r="E16" s="79">
        <f t="shared" ref="E16:E19" si="2">C16*C16*D16</f>
        <v>0</v>
      </c>
      <c r="F16" s="79">
        <f>SUMIFS(Density!C$9:C$69,Density!B$9:B$69,'Weight Cal'!B16)</f>
        <v>0</v>
      </c>
      <c r="G16" s="116"/>
      <c r="H16" s="117">
        <f t="shared" ref="H16:H19" si="3">F16*E16</f>
        <v>0</v>
      </c>
    </row>
    <row r="17" spans="1:8" ht="15.75" x14ac:dyDescent="0.25">
      <c r="A17" s="103">
        <v>3</v>
      </c>
      <c r="B17" s="115"/>
      <c r="C17" s="75">
        <f>SUMIFS('Input Size'!H$18:H$22,'Input Size'!B$18:B$22,'Weight Cal'!B17)</f>
        <v>0</v>
      </c>
      <c r="D17" s="75">
        <f>SUMIFS('Input Size'!M$18:M$22,'Input Size'!B$18:B$22,'Weight Cal'!B17)</f>
        <v>0</v>
      </c>
      <c r="E17" s="79">
        <f t="shared" si="2"/>
        <v>0</v>
      </c>
      <c r="F17" s="79">
        <f>SUMIFS(Density!C$9:C$69,Density!B$9:B$69,'Weight Cal'!B17)</f>
        <v>0</v>
      </c>
      <c r="G17" s="116"/>
      <c r="H17" s="117">
        <f t="shared" si="3"/>
        <v>0</v>
      </c>
    </row>
    <row r="18" spans="1:8" ht="15.75" x14ac:dyDescent="0.25">
      <c r="A18" s="103">
        <v>4</v>
      </c>
      <c r="B18" s="115"/>
      <c r="C18" s="75">
        <f>SUMIFS('Input Size'!H$18:H$22,'Input Size'!B$18:B$22,'Weight Cal'!B18)</f>
        <v>0</v>
      </c>
      <c r="D18" s="75">
        <f>SUMIFS('Input Size'!M$18:M$22,'Input Size'!B$18:B$22,'Weight Cal'!B18)</f>
        <v>0</v>
      </c>
      <c r="E18" s="79">
        <f t="shared" si="2"/>
        <v>0</v>
      </c>
      <c r="F18" s="79">
        <f>SUMIFS(Density!C$9:C$69,Density!B$9:B$69,'Weight Cal'!B18)</f>
        <v>0</v>
      </c>
      <c r="G18" s="116"/>
      <c r="H18" s="117">
        <f t="shared" si="3"/>
        <v>0</v>
      </c>
    </row>
    <row r="19" spans="1:8" ht="16.5" thickBot="1" x14ac:dyDescent="0.3">
      <c r="A19" s="105">
        <v>5</v>
      </c>
      <c r="B19" s="118"/>
      <c r="C19" s="107">
        <f>SUMIFS('Input Size'!H$18:H$22,'Input Size'!B$18:B$22,'Weight Cal'!B19)</f>
        <v>0</v>
      </c>
      <c r="D19" s="107">
        <f>SUMIFS('Input Size'!M$18:M$22,'Input Size'!B$18:B$22,'Weight Cal'!B19)</f>
        <v>0</v>
      </c>
      <c r="E19" s="93">
        <f t="shared" si="2"/>
        <v>0</v>
      </c>
      <c r="F19" s="93">
        <f>SUMIFS(Density!C$9:C$69,Density!B$9:B$69,'Weight Cal'!B19)</f>
        <v>0</v>
      </c>
      <c r="G19" s="119"/>
      <c r="H19" s="120">
        <f t="shared" si="3"/>
        <v>0</v>
      </c>
    </row>
    <row r="20" spans="1:8" ht="15.75" x14ac:dyDescent="0.25">
      <c r="A20" s="282"/>
      <c r="B20" s="282"/>
      <c r="C20" s="282"/>
      <c r="D20" s="282"/>
      <c r="E20" s="282"/>
      <c r="F20" s="282"/>
      <c r="G20" s="108"/>
      <c r="H20" s="111"/>
    </row>
    <row r="21" spans="1:8" ht="15.75" x14ac:dyDescent="0.25">
      <c r="A21" s="81" t="s">
        <v>235</v>
      </c>
      <c r="B21" s="110"/>
      <c r="C21" s="110"/>
      <c r="D21" s="110"/>
      <c r="E21" s="110"/>
      <c r="F21" s="110"/>
      <c r="G21" s="110"/>
      <c r="H21" s="111"/>
    </row>
    <row r="22" spans="1:8" ht="16.5" thickBot="1" x14ac:dyDescent="0.3">
      <c r="A22" s="81"/>
      <c r="B22" s="110"/>
      <c r="C22" s="110"/>
      <c r="D22" s="110"/>
      <c r="E22" s="110"/>
      <c r="F22" s="110"/>
      <c r="G22" s="110"/>
      <c r="H22" s="111"/>
    </row>
    <row r="23" spans="1:8" s="37" customFormat="1" ht="16.5" thickBot="1" x14ac:dyDescent="0.3">
      <c r="A23" s="121" t="s">
        <v>201</v>
      </c>
      <c r="B23" s="214" t="s">
        <v>224</v>
      </c>
      <c r="C23" s="121" t="s">
        <v>226</v>
      </c>
      <c r="D23" s="121" t="s">
        <v>236</v>
      </c>
      <c r="E23" s="121" t="s">
        <v>242</v>
      </c>
      <c r="F23" s="121" t="s">
        <v>243</v>
      </c>
      <c r="G23" s="112"/>
      <c r="H23" s="99" t="s">
        <v>245</v>
      </c>
    </row>
    <row r="24" spans="1:8" ht="15.75" x14ac:dyDescent="0.25">
      <c r="A24" s="100">
        <v>1</v>
      </c>
      <c r="B24" s="101"/>
      <c r="C24" s="75">
        <f>SUMIFS('Input Size'!H$29:H$33,'Input Size'!B$29:B$33,'Weight Cal'!B24)</f>
        <v>0</v>
      </c>
      <c r="D24" s="102">
        <f>SUMIFS('Input Size'!M$29:M$33,'Input Size'!B$29:B$33,'Weight Cal'!B24)</f>
        <v>0</v>
      </c>
      <c r="E24" s="102">
        <f>((PI()*D24*D24)/4)*C24</f>
        <v>0</v>
      </c>
      <c r="F24" s="102">
        <f>SUMIFS(Density!C$9:C$69,Density!B$9:B$69,'Weight Cal'!B24)</f>
        <v>0</v>
      </c>
      <c r="G24" s="113"/>
      <c r="H24" s="114">
        <f>F24*E24</f>
        <v>0</v>
      </c>
    </row>
    <row r="25" spans="1:8" ht="15.75" x14ac:dyDescent="0.25">
      <c r="A25" s="103">
        <v>2</v>
      </c>
      <c r="B25" s="104"/>
      <c r="C25" s="75">
        <f>SUMIFS('Input Size'!H$29:H$33,'Input Size'!B$29:B$33,'Weight Cal'!B25)</f>
        <v>0</v>
      </c>
      <c r="D25" s="75">
        <f>SUMIFS('Input Size'!M$29:M$33,'Input Size'!B$29:B$33,'Weight Cal'!B25)</f>
        <v>0</v>
      </c>
      <c r="E25" s="79">
        <f t="shared" ref="E25:E28" si="4">((PI()*D25*D25)/4)*C25</f>
        <v>0</v>
      </c>
      <c r="F25" s="79">
        <f>SUMIFS(Density!C$9:C$69,Density!B$9:B$69,'Weight Cal'!B25)</f>
        <v>0</v>
      </c>
      <c r="G25" s="116"/>
      <c r="H25" s="117">
        <f t="shared" ref="H25:H28" si="5">F25*E25</f>
        <v>0</v>
      </c>
    </row>
    <row r="26" spans="1:8" ht="15.75" x14ac:dyDescent="0.25">
      <c r="A26" s="103">
        <v>3</v>
      </c>
      <c r="B26" s="104"/>
      <c r="C26" s="75">
        <f>SUMIFS('Input Size'!H$29:H$33,'Input Size'!B$29:B$33,'Weight Cal'!B26)</f>
        <v>0</v>
      </c>
      <c r="D26" s="75">
        <f>SUMIFS('Input Size'!M$29:M$33,'Input Size'!B$29:B$33,'Weight Cal'!B26)</f>
        <v>0</v>
      </c>
      <c r="E26" s="79">
        <f t="shared" si="4"/>
        <v>0</v>
      </c>
      <c r="F26" s="79">
        <f>SUMIFS(Density!C$9:C$69,Density!B$9:B$69,'Weight Cal'!B26)</f>
        <v>0</v>
      </c>
      <c r="G26" s="116"/>
      <c r="H26" s="117">
        <f t="shared" si="5"/>
        <v>0</v>
      </c>
    </row>
    <row r="27" spans="1:8" ht="15.75" x14ac:dyDescent="0.25">
      <c r="A27" s="103">
        <v>4</v>
      </c>
      <c r="B27" s="104"/>
      <c r="C27" s="75">
        <f>SUMIFS('Input Size'!H$29:H$33,'Input Size'!B$29:B$33,'Weight Cal'!B27)</f>
        <v>0</v>
      </c>
      <c r="D27" s="75">
        <f>SUMIFS('Input Size'!M$29:M$33,'Input Size'!B$29:B$33,'Weight Cal'!B27)</f>
        <v>0</v>
      </c>
      <c r="E27" s="79">
        <f t="shared" si="4"/>
        <v>0</v>
      </c>
      <c r="F27" s="79">
        <f>SUMIFS(Density!C$9:C$69,Density!B$9:B$69,'Weight Cal'!B27)</f>
        <v>0</v>
      </c>
      <c r="G27" s="116"/>
      <c r="H27" s="117">
        <f t="shared" si="5"/>
        <v>0</v>
      </c>
    </row>
    <row r="28" spans="1:8" ht="16.5" thickBot="1" x14ac:dyDescent="0.3">
      <c r="A28" s="105">
        <v>5</v>
      </c>
      <c r="B28" s="106"/>
      <c r="C28" s="107">
        <f>SUMIFS('Input Size'!H$29:H$33,'Input Size'!B$29:B$33,'Weight Cal'!B28)</f>
        <v>0</v>
      </c>
      <c r="D28" s="107">
        <f>SUMIFS('Input Size'!M$29:M$33,'Input Size'!B$29:B$33,'Weight Cal'!B28)</f>
        <v>0</v>
      </c>
      <c r="E28" s="93">
        <f t="shared" si="4"/>
        <v>0</v>
      </c>
      <c r="F28" s="93">
        <f>SUMIFS(Density!C$9:C$69,Density!B$9:B$69,'Weight Cal'!B28)</f>
        <v>0</v>
      </c>
      <c r="G28" s="119"/>
      <c r="H28" s="120">
        <f t="shared" si="5"/>
        <v>0</v>
      </c>
    </row>
    <row r="29" spans="1:8" ht="15.75" x14ac:dyDescent="0.25">
      <c r="A29" s="282"/>
      <c r="B29" s="282"/>
      <c r="C29" s="282"/>
      <c r="D29" s="282"/>
      <c r="E29" s="282"/>
      <c r="F29" s="282"/>
      <c r="G29" s="108"/>
      <c r="H29" s="111"/>
    </row>
    <row r="30" spans="1:8" ht="15.75" x14ac:dyDescent="0.25">
      <c r="A30" s="81" t="s">
        <v>237</v>
      </c>
      <c r="B30" s="110"/>
      <c r="C30" s="110"/>
      <c r="D30" s="110"/>
      <c r="E30" s="110"/>
      <c r="F30" s="110"/>
      <c r="G30" s="110"/>
      <c r="H30" s="111"/>
    </row>
    <row r="31" spans="1:8" ht="16.5" thickBot="1" x14ac:dyDescent="0.3">
      <c r="A31" s="81"/>
      <c r="B31" s="110"/>
      <c r="C31" s="110"/>
      <c r="D31" s="110"/>
      <c r="E31" s="110"/>
      <c r="F31" s="110"/>
      <c r="G31" s="110"/>
      <c r="H31" s="111"/>
    </row>
    <row r="32" spans="1:8" s="36" customFormat="1" ht="16.5" thickBot="1" x14ac:dyDescent="0.3">
      <c r="A32" s="99" t="s">
        <v>201</v>
      </c>
      <c r="B32" s="214" t="s">
        <v>224</v>
      </c>
      <c r="C32" s="99" t="s">
        <v>226</v>
      </c>
      <c r="D32" s="99" t="s">
        <v>238</v>
      </c>
      <c r="E32" s="99" t="s">
        <v>239</v>
      </c>
      <c r="F32" s="99" t="s">
        <v>242</v>
      </c>
      <c r="G32" s="99" t="s">
        <v>243</v>
      </c>
      <c r="H32" s="99" t="s">
        <v>245</v>
      </c>
    </row>
    <row r="33" spans="1:9" ht="15.75" x14ac:dyDescent="0.25">
      <c r="A33" s="100">
        <v>1</v>
      </c>
      <c r="B33" s="101"/>
      <c r="C33" s="102">
        <f>SUMIFS('Input Size'!H$40:H$44,'Input Size'!B$40:B$44,'Weight Cal'!B33)</f>
        <v>0</v>
      </c>
      <c r="D33" s="102">
        <f>SUMIFS('Input Size'!M$40:M$44,'Input Size'!B$40:B$44,'Weight Cal'!B33)</f>
        <v>0</v>
      </c>
      <c r="E33" s="102">
        <f>SUMIFS('Input Size'!R$40:R$44,'Input Size'!B$40:B$44,'Weight Cal'!B33)</f>
        <v>0</v>
      </c>
      <c r="F33" s="102">
        <f>((PI()*((D33*D33)-(E33*E33)))/4)*C33</f>
        <v>0</v>
      </c>
      <c r="G33" s="102">
        <f>SUMIFS(Density!C$9:C$69,Density!B$9:B$69,'Weight Cal'!B33)</f>
        <v>0</v>
      </c>
      <c r="H33" s="122">
        <f>G33*F33</f>
        <v>0</v>
      </c>
    </row>
    <row r="34" spans="1:9" ht="15.75" x14ac:dyDescent="0.25">
      <c r="A34" s="103">
        <v>2</v>
      </c>
      <c r="B34" s="104"/>
      <c r="C34" s="75">
        <f>SUMIFS('Input Size'!H$40:H$44,'Input Size'!B$40:B$44,'Weight Cal'!B34)</f>
        <v>0</v>
      </c>
      <c r="D34" s="75">
        <f>SUMIFS('Input Size'!M$40:M$44,'Input Size'!B$40:B$44,'Weight Cal'!B34)</f>
        <v>0</v>
      </c>
      <c r="E34" s="75">
        <f>SUMIFS('Input Size'!R$40:R$44,'Input Size'!B$40:B$44,'Weight Cal'!B34)</f>
        <v>0</v>
      </c>
      <c r="F34" s="79">
        <f t="shared" ref="F34:F37" si="6">((PI()*((D34*D34)-(E34*E34)))/4)*C34</f>
        <v>0</v>
      </c>
      <c r="G34" s="79">
        <f>SUMIFS(Density!C$9:C$69,Density!B$9:B$69,'Weight Cal'!B34)</f>
        <v>0</v>
      </c>
      <c r="H34" s="89">
        <f t="shared" ref="H34:H37" si="7">G34*F34</f>
        <v>0</v>
      </c>
    </row>
    <row r="35" spans="1:9" ht="15.75" x14ac:dyDescent="0.25">
      <c r="A35" s="103">
        <v>3</v>
      </c>
      <c r="B35" s="104"/>
      <c r="C35" s="75">
        <f>SUMIFS('Input Size'!H$40:H$44,'Input Size'!B$40:B$44,'Weight Cal'!B35)</f>
        <v>0</v>
      </c>
      <c r="D35" s="75">
        <f>SUMIFS('Input Size'!M$40:M$44,'Input Size'!B$40:B$44,'Weight Cal'!B35)</f>
        <v>0</v>
      </c>
      <c r="E35" s="75">
        <f>SUMIFS('Input Size'!R$40:R$44,'Input Size'!B$40:B$44,'Weight Cal'!B35)</f>
        <v>0</v>
      </c>
      <c r="F35" s="79">
        <f t="shared" si="6"/>
        <v>0</v>
      </c>
      <c r="G35" s="79">
        <f>SUMIFS(Density!C$9:C$69,Density!B$9:B$69,'Weight Cal'!B35)</f>
        <v>0</v>
      </c>
      <c r="H35" s="89">
        <f t="shared" si="7"/>
        <v>0</v>
      </c>
    </row>
    <row r="36" spans="1:9" ht="15.75" x14ac:dyDescent="0.25">
      <c r="A36" s="103">
        <v>4</v>
      </c>
      <c r="B36" s="104"/>
      <c r="C36" s="75">
        <f>SUMIFS('Input Size'!H$40:H$44,'Input Size'!B$40:B$44,'Weight Cal'!B36)</f>
        <v>0</v>
      </c>
      <c r="D36" s="75">
        <f>SUMIFS('Input Size'!M$40:M$44,'Input Size'!B$40:B$44,'Weight Cal'!B36)</f>
        <v>0</v>
      </c>
      <c r="E36" s="75">
        <f>SUMIFS('Input Size'!R$40:R$44,'Input Size'!B$40:B$44,'Weight Cal'!B36)</f>
        <v>0</v>
      </c>
      <c r="F36" s="79">
        <f t="shared" si="6"/>
        <v>0</v>
      </c>
      <c r="G36" s="79">
        <f>SUMIFS(Density!C$9:C$69,Density!B$9:B$69,'Weight Cal'!B36)</f>
        <v>0</v>
      </c>
      <c r="H36" s="89">
        <f t="shared" si="7"/>
        <v>0</v>
      </c>
      <c r="I36" s="144"/>
    </row>
    <row r="37" spans="1:9" ht="15.75" x14ac:dyDescent="0.25">
      <c r="A37" s="123">
        <v>5</v>
      </c>
      <c r="B37" s="124"/>
      <c r="C37" s="125">
        <f>SUMIFS('Input Size'!H$40:H$44,'Input Size'!B$40:B$44,'Weight Cal'!B37)</f>
        <v>0</v>
      </c>
      <c r="D37" s="125">
        <f>SUMIFS('Input Size'!M$40:M$44,'Input Size'!B$40:B$44,'Weight Cal'!B37)</f>
        <v>0</v>
      </c>
      <c r="E37" s="125">
        <f>SUMIFS('Input Size'!R$40:R$44,'Input Size'!B$40:B$44,'Weight Cal'!B37)</f>
        <v>0</v>
      </c>
      <c r="F37" s="126">
        <f t="shared" si="6"/>
        <v>0</v>
      </c>
      <c r="G37" s="126">
        <f>SUMIFS(Density!C$9:C$69,Density!B$9:B$69,'Weight Cal'!B37)</f>
        <v>0</v>
      </c>
      <c r="H37" s="127">
        <f t="shared" si="7"/>
        <v>0</v>
      </c>
    </row>
    <row r="38" spans="1:9" ht="16.5" thickBot="1" x14ac:dyDescent="0.3">
      <c r="A38" s="294" t="s">
        <v>246</v>
      </c>
      <c r="B38" s="295"/>
      <c r="C38" s="295"/>
      <c r="D38" s="295"/>
      <c r="E38" s="295"/>
      <c r="F38" s="295"/>
      <c r="G38" s="295"/>
      <c r="H38" s="128">
        <f>SUM(H6:H37)</f>
        <v>0</v>
      </c>
    </row>
  </sheetData>
  <protectedRanges>
    <protectedRange sqref="A38:XFD1048576 A33:A37 A15:A19 G17:H19 A11:XFD14 A6:A10 A1:XFD5 I15:XFD19 G15:G16 C15:F19 C33:XFD37 C6:XFD10 A20:XFD32" name="Range1"/>
  </protectedRanges>
  <mergeCells count="5">
    <mergeCell ref="A38:G38"/>
    <mergeCell ref="A1:H1"/>
    <mergeCell ref="A11:G11"/>
    <mergeCell ref="A20:F20"/>
    <mergeCell ref="A29:F29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Density!$B$9:$B$69</xm:f>
          </x14:formula1>
          <xm:sqref>B6:B10 B33:B37 B24:B28 B15:B19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/>
  </sheetPr>
  <dimension ref="A1:T44"/>
  <sheetViews>
    <sheetView topLeftCell="A13" zoomScaleNormal="100" workbookViewId="0">
      <selection activeCell="B29" sqref="B29"/>
    </sheetView>
  </sheetViews>
  <sheetFormatPr defaultColWidth="9.140625" defaultRowHeight="14.25" x14ac:dyDescent="0.2"/>
  <cols>
    <col min="1" max="1" width="3.42578125" style="30" customWidth="1"/>
    <col min="2" max="2" width="28.140625" style="30" customWidth="1"/>
    <col min="3" max="18" width="8.5703125" style="30" customWidth="1"/>
    <col min="19" max="16384" width="9.140625" style="30"/>
  </cols>
  <sheetData>
    <row r="1" spans="1:20" ht="21" x14ac:dyDescent="0.2">
      <c r="A1" s="296" t="s">
        <v>222</v>
      </c>
      <c r="B1" s="296"/>
      <c r="C1" s="296"/>
      <c r="D1" s="296"/>
      <c r="E1" s="296"/>
      <c r="F1" s="296"/>
      <c r="G1" s="296"/>
      <c r="H1" s="296"/>
      <c r="I1" s="296"/>
      <c r="J1" s="296"/>
      <c r="K1" s="296"/>
      <c r="L1" s="296"/>
      <c r="M1" s="296"/>
      <c r="N1" s="296"/>
      <c r="O1" s="296"/>
      <c r="P1" s="296"/>
      <c r="Q1" s="296"/>
      <c r="R1" s="296"/>
    </row>
    <row r="2" spans="1:20" ht="15" x14ac:dyDescent="0.25">
      <c r="A2" s="68"/>
      <c r="B2" s="68"/>
      <c r="C2" s="68"/>
      <c r="D2" s="68"/>
      <c r="E2" s="68"/>
      <c r="F2" s="68"/>
      <c r="G2" s="68"/>
      <c r="H2" s="68"/>
      <c r="I2" s="68"/>
      <c r="J2" s="68"/>
      <c r="K2" s="68"/>
      <c r="L2" s="68"/>
      <c r="M2" s="68"/>
      <c r="N2" s="68"/>
      <c r="O2" s="68"/>
      <c r="P2" s="68"/>
      <c r="Q2" s="68"/>
      <c r="R2" s="68"/>
    </row>
    <row r="3" spans="1:20" s="31" customFormat="1" ht="15.75" x14ac:dyDescent="0.25">
      <c r="A3" s="69" t="s">
        <v>223</v>
      </c>
      <c r="B3" s="69"/>
      <c r="C3" s="69"/>
      <c r="D3" s="69"/>
      <c r="E3" s="69"/>
      <c r="F3" s="69"/>
      <c r="G3" s="69"/>
      <c r="H3" s="69"/>
      <c r="I3" s="69"/>
      <c r="J3" s="69"/>
      <c r="K3" s="69"/>
      <c r="L3" s="69"/>
      <c r="M3" s="69"/>
      <c r="N3" s="69"/>
      <c r="O3" s="69"/>
      <c r="P3" s="69"/>
      <c r="Q3" s="69"/>
      <c r="R3" s="69"/>
    </row>
    <row r="4" spans="1:20" ht="15.75" thickBot="1" x14ac:dyDescent="0.3">
      <c r="A4" s="68"/>
      <c r="B4" s="68"/>
      <c r="C4" s="68"/>
      <c r="D4" s="68"/>
      <c r="E4" s="68"/>
      <c r="F4" s="68"/>
      <c r="G4" s="68"/>
      <c r="H4" s="68"/>
      <c r="I4" s="68"/>
      <c r="J4" s="68"/>
      <c r="K4" s="68"/>
      <c r="L4" s="68"/>
      <c r="M4" s="68"/>
      <c r="N4" s="68"/>
      <c r="O4" s="68"/>
      <c r="P4" s="68"/>
      <c r="Q4" s="68"/>
      <c r="R4" s="68"/>
    </row>
    <row r="5" spans="1:20" ht="15.75" thickBot="1" x14ac:dyDescent="0.3">
      <c r="A5" s="285" t="s">
        <v>201</v>
      </c>
      <c r="B5" s="286" t="s">
        <v>224</v>
      </c>
      <c r="C5" s="286" t="s">
        <v>225</v>
      </c>
      <c r="D5" s="287" t="s">
        <v>226</v>
      </c>
      <c r="E5" s="287"/>
      <c r="F5" s="287"/>
      <c r="G5" s="287"/>
      <c r="H5" s="287"/>
      <c r="I5" s="287" t="s">
        <v>227</v>
      </c>
      <c r="J5" s="287"/>
      <c r="K5" s="287"/>
      <c r="L5" s="287"/>
      <c r="M5" s="287"/>
      <c r="N5" s="287" t="s">
        <v>228</v>
      </c>
      <c r="O5" s="287"/>
      <c r="P5" s="287"/>
      <c r="Q5" s="287"/>
      <c r="R5" s="287"/>
      <c r="S5" s="32"/>
      <c r="T5" s="32"/>
    </row>
    <row r="6" spans="1:20" ht="15.75" thickBot="1" x14ac:dyDescent="0.3">
      <c r="A6" s="285"/>
      <c r="B6" s="286"/>
      <c r="C6" s="286"/>
      <c r="D6" s="70" t="s">
        <v>229</v>
      </c>
      <c r="E6" s="70" t="s">
        <v>230</v>
      </c>
      <c r="F6" s="70" t="s">
        <v>231</v>
      </c>
      <c r="G6" s="70" t="s">
        <v>232</v>
      </c>
      <c r="H6" s="71" t="s">
        <v>232</v>
      </c>
      <c r="I6" s="70" t="s">
        <v>229</v>
      </c>
      <c r="J6" s="70" t="s">
        <v>230</v>
      </c>
      <c r="K6" s="70" t="s">
        <v>231</v>
      </c>
      <c r="L6" s="70" t="s">
        <v>232</v>
      </c>
      <c r="M6" s="71" t="s">
        <v>232</v>
      </c>
      <c r="N6" s="70" t="s">
        <v>229</v>
      </c>
      <c r="O6" s="70" t="s">
        <v>230</v>
      </c>
      <c r="P6" s="70" t="s">
        <v>231</v>
      </c>
      <c r="Q6" s="70" t="s">
        <v>232</v>
      </c>
      <c r="R6" s="71" t="s">
        <v>232</v>
      </c>
      <c r="S6" s="32"/>
      <c r="T6" s="32"/>
    </row>
    <row r="7" spans="1:20" ht="15" x14ac:dyDescent="0.25">
      <c r="A7" s="72">
        <v>1</v>
      </c>
      <c r="B7" s="73"/>
      <c r="C7" s="210" t="s">
        <v>231</v>
      </c>
      <c r="D7" s="74"/>
      <c r="E7" s="74"/>
      <c r="F7" s="74"/>
      <c r="G7" s="74"/>
      <c r="H7" s="75">
        <f>(I7*0.0254)+(J7*0.3048)+(K7*0.001)+(L7*1)</f>
        <v>0</v>
      </c>
      <c r="I7" s="74"/>
      <c r="J7" s="74"/>
      <c r="K7" s="74"/>
      <c r="L7" s="74"/>
      <c r="M7" s="75">
        <f>(I7*0.254)+(J7*0.3048)+(K7*0.001)+(L7*1)</f>
        <v>0</v>
      </c>
      <c r="N7" s="74"/>
      <c r="O7" s="74"/>
      <c r="P7" s="74"/>
      <c r="Q7" s="74"/>
      <c r="R7" s="75">
        <f>(N7*0.0254)+(O7*0.3048)+(P7*0.001)+(Q7*1)</f>
        <v>0</v>
      </c>
      <c r="S7" s="32"/>
      <c r="T7" s="32"/>
    </row>
    <row r="8" spans="1:20" ht="15" x14ac:dyDescent="0.25">
      <c r="A8" s="76">
        <v>2</v>
      </c>
      <c r="B8" s="77"/>
      <c r="C8" s="211"/>
      <c r="D8" s="78"/>
      <c r="E8" s="78"/>
      <c r="F8" s="78"/>
      <c r="G8" s="78"/>
      <c r="H8" s="79">
        <f t="shared" ref="H8:H11" si="0">(D8*0.0254)+(E8*0.3048)+(F8*0.001)+(G8*1)</f>
        <v>0</v>
      </c>
      <c r="I8" s="78"/>
      <c r="J8" s="78"/>
      <c r="K8" s="78"/>
      <c r="L8" s="78"/>
      <c r="M8" s="79">
        <f t="shared" ref="M8:M11" si="1">(I8*0.0254)+(J8*0.3048)+(K8*0.001)+(L8*1)</f>
        <v>0</v>
      </c>
      <c r="N8" s="78"/>
      <c r="O8" s="78"/>
      <c r="P8" s="78"/>
      <c r="Q8" s="78"/>
      <c r="R8" s="79">
        <f t="shared" ref="R8:R11" si="2">(N8*0.0254)+(O8*0.3048)+(P8*0.001)+(Q8)</f>
        <v>0</v>
      </c>
      <c r="S8" s="32"/>
      <c r="T8" s="32"/>
    </row>
    <row r="9" spans="1:20" ht="15" x14ac:dyDescent="0.25">
      <c r="A9" s="76">
        <v>3</v>
      </c>
      <c r="B9" s="77"/>
      <c r="C9" s="211"/>
      <c r="D9" s="78"/>
      <c r="E9" s="78"/>
      <c r="F9" s="78"/>
      <c r="G9" s="78"/>
      <c r="H9" s="79">
        <f t="shared" si="0"/>
        <v>0</v>
      </c>
      <c r="I9" s="78"/>
      <c r="J9" s="78"/>
      <c r="K9" s="78"/>
      <c r="L9" s="78"/>
      <c r="M9" s="79">
        <f t="shared" si="1"/>
        <v>0</v>
      </c>
      <c r="N9" s="78"/>
      <c r="O9" s="78"/>
      <c r="P9" s="78"/>
      <c r="Q9" s="78"/>
      <c r="R9" s="79">
        <f t="shared" si="2"/>
        <v>0</v>
      </c>
      <c r="S9" s="32"/>
      <c r="T9" s="32"/>
    </row>
    <row r="10" spans="1:20" ht="15" x14ac:dyDescent="0.25">
      <c r="A10" s="76">
        <v>4</v>
      </c>
      <c r="B10" s="77"/>
      <c r="C10" s="211"/>
      <c r="D10" s="78"/>
      <c r="E10" s="78"/>
      <c r="F10" s="78"/>
      <c r="G10" s="78"/>
      <c r="H10" s="79">
        <f t="shared" si="0"/>
        <v>0</v>
      </c>
      <c r="I10" s="78"/>
      <c r="J10" s="78"/>
      <c r="K10" s="78"/>
      <c r="L10" s="78"/>
      <c r="M10" s="79">
        <f t="shared" si="1"/>
        <v>0</v>
      </c>
      <c r="N10" s="78"/>
      <c r="O10" s="78"/>
      <c r="P10" s="78"/>
      <c r="Q10" s="78"/>
      <c r="R10" s="79">
        <f t="shared" si="2"/>
        <v>0</v>
      </c>
      <c r="S10" s="32"/>
      <c r="T10" s="32"/>
    </row>
    <row r="11" spans="1:20" ht="15" x14ac:dyDescent="0.25">
      <c r="A11" s="76">
        <v>5</v>
      </c>
      <c r="B11" s="77"/>
      <c r="C11" s="211"/>
      <c r="D11" s="78"/>
      <c r="E11" s="78"/>
      <c r="F11" s="78"/>
      <c r="G11" s="78"/>
      <c r="H11" s="79">
        <f t="shared" si="0"/>
        <v>0</v>
      </c>
      <c r="I11" s="78"/>
      <c r="J11" s="78"/>
      <c r="K11" s="78"/>
      <c r="L11" s="78"/>
      <c r="M11" s="79">
        <f t="shared" si="1"/>
        <v>0</v>
      </c>
      <c r="N11" s="78"/>
      <c r="O11" s="78"/>
      <c r="P11" s="78"/>
      <c r="Q11" s="78"/>
      <c r="R11" s="79">
        <f t="shared" si="2"/>
        <v>0</v>
      </c>
      <c r="S11" s="32"/>
      <c r="T11" s="32"/>
    </row>
    <row r="12" spans="1:20" ht="15" x14ac:dyDescent="0.25">
      <c r="A12" s="80"/>
      <c r="B12" s="80"/>
      <c r="C12" s="209"/>
      <c r="D12" s="80"/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  <c r="S12" s="32"/>
      <c r="T12" s="32"/>
    </row>
    <row r="13" spans="1:20" ht="15" x14ac:dyDescent="0.25">
      <c r="A13" s="80"/>
      <c r="B13" s="80"/>
      <c r="C13" s="209"/>
      <c r="D13" s="80"/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  <c r="S13" s="32"/>
      <c r="T13" s="32"/>
    </row>
    <row r="14" spans="1:20" ht="15.75" x14ac:dyDescent="0.25">
      <c r="A14" s="81" t="s">
        <v>233</v>
      </c>
      <c r="B14" s="80"/>
      <c r="C14" s="209"/>
      <c r="D14" s="80"/>
      <c r="E14" s="80"/>
      <c r="F14" s="80"/>
      <c r="G14" s="80"/>
      <c r="H14" s="80"/>
      <c r="I14" s="80"/>
      <c r="J14" s="80"/>
      <c r="K14" s="80"/>
      <c r="L14" s="80"/>
      <c r="M14" s="80"/>
      <c r="N14" s="80"/>
      <c r="O14" s="80"/>
      <c r="P14" s="80"/>
      <c r="Q14" s="80"/>
      <c r="R14" s="80"/>
      <c r="S14" s="32"/>
      <c r="T14" s="32"/>
    </row>
    <row r="15" spans="1:20" ht="15.75" thickBot="1" x14ac:dyDescent="0.3">
      <c r="A15" s="80"/>
      <c r="B15" s="80"/>
      <c r="C15" s="209"/>
      <c r="D15" s="80"/>
      <c r="E15" s="80"/>
      <c r="F15" s="80"/>
      <c r="G15" s="80"/>
      <c r="H15" s="80"/>
      <c r="I15" s="80"/>
      <c r="J15" s="80"/>
      <c r="K15" s="80"/>
      <c r="L15" s="80"/>
      <c r="M15" s="80"/>
      <c r="N15" s="80"/>
      <c r="O15" s="80"/>
      <c r="P15" s="80"/>
      <c r="Q15" s="80"/>
      <c r="R15" s="80"/>
      <c r="S15" s="32"/>
      <c r="T15" s="32"/>
    </row>
    <row r="16" spans="1:20" ht="15.75" thickBot="1" x14ac:dyDescent="0.3">
      <c r="A16" s="285" t="s">
        <v>201</v>
      </c>
      <c r="B16" s="286" t="s">
        <v>224</v>
      </c>
      <c r="C16" s="286" t="s">
        <v>225</v>
      </c>
      <c r="D16" s="287" t="s">
        <v>234</v>
      </c>
      <c r="E16" s="287"/>
      <c r="F16" s="287"/>
      <c r="G16" s="287"/>
      <c r="H16" s="287"/>
      <c r="I16" s="287" t="s">
        <v>228</v>
      </c>
      <c r="J16" s="287"/>
      <c r="K16" s="287"/>
      <c r="L16" s="287"/>
      <c r="M16" s="287"/>
      <c r="N16" s="82"/>
      <c r="O16" s="82"/>
      <c r="P16" s="82"/>
      <c r="Q16" s="82"/>
      <c r="R16" s="82"/>
      <c r="S16" s="32"/>
      <c r="T16" s="32"/>
    </row>
    <row r="17" spans="1:20" ht="15.75" thickBot="1" x14ac:dyDescent="0.3">
      <c r="A17" s="285"/>
      <c r="B17" s="286"/>
      <c r="C17" s="286"/>
      <c r="D17" s="70" t="s">
        <v>229</v>
      </c>
      <c r="E17" s="70" t="s">
        <v>230</v>
      </c>
      <c r="F17" s="70" t="s">
        <v>231</v>
      </c>
      <c r="G17" s="70" t="s">
        <v>232</v>
      </c>
      <c r="H17" s="70" t="s">
        <v>232</v>
      </c>
      <c r="I17" s="70" t="s">
        <v>229</v>
      </c>
      <c r="J17" s="70" t="s">
        <v>230</v>
      </c>
      <c r="K17" s="70" t="s">
        <v>231</v>
      </c>
      <c r="L17" s="70" t="s">
        <v>232</v>
      </c>
      <c r="M17" s="70" t="s">
        <v>232</v>
      </c>
      <c r="N17" s="83"/>
      <c r="O17" s="83"/>
      <c r="P17" s="83"/>
      <c r="Q17" s="83"/>
      <c r="R17" s="83"/>
      <c r="S17" s="32"/>
      <c r="T17" s="32"/>
    </row>
    <row r="18" spans="1:20" ht="15" x14ac:dyDescent="0.25">
      <c r="A18" s="84">
        <v>1</v>
      </c>
      <c r="B18" s="73"/>
      <c r="C18" s="210" t="s">
        <v>231</v>
      </c>
      <c r="D18" s="74"/>
      <c r="E18" s="74"/>
      <c r="F18" s="74"/>
      <c r="G18" s="74"/>
      <c r="H18" s="75">
        <f>(D18*0.0254)+(E18*0.3048)+(F18*0.001)+(G18*1)</f>
        <v>0</v>
      </c>
      <c r="I18" s="74"/>
      <c r="J18" s="74"/>
      <c r="K18" s="74"/>
      <c r="L18" s="74"/>
      <c r="M18" s="85">
        <f>(I18*0.0254)+(J18*0.3048)+(K18*0.001)+(L18*1)</f>
        <v>0</v>
      </c>
      <c r="N18" s="86"/>
      <c r="O18" s="86"/>
      <c r="P18" s="86"/>
      <c r="Q18" s="86"/>
      <c r="R18" s="87"/>
      <c r="S18" s="32"/>
      <c r="T18" s="32"/>
    </row>
    <row r="19" spans="1:20" ht="15" x14ac:dyDescent="0.25">
      <c r="A19" s="88">
        <v>2</v>
      </c>
      <c r="B19" s="77"/>
      <c r="C19" s="211"/>
      <c r="D19" s="78"/>
      <c r="E19" s="78"/>
      <c r="F19" s="78"/>
      <c r="G19" s="78"/>
      <c r="H19" s="79">
        <f t="shared" ref="H19:H22" si="3">(D19*0.0254)+(E19*0.3048)+(F19*0.001)+(G19*1)</f>
        <v>0</v>
      </c>
      <c r="I19" s="78"/>
      <c r="J19" s="78"/>
      <c r="K19" s="78"/>
      <c r="L19" s="78"/>
      <c r="M19" s="89">
        <f t="shared" ref="M19:M22" si="4">(I19*0.0254)+(J19*0.3048)+(K19*0.001)+(L19*1)</f>
        <v>0</v>
      </c>
      <c r="N19" s="86"/>
      <c r="O19" s="86"/>
      <c r="P19" s="86"/>
      <c r="Q19" s="86"/>
      <c r="R19" s="87"/>
      <c r="S19" s="32"/>
      <c r="T19" s="32"/>
    </row>
    <row r="20" spans="1:20" ht="15" x14ac:dyDescent="0.25">
      <c r="A20" s="88">
        <v>3</v>
      </c>
      <c r="B20" s="77"/>
      <c r="C20" s="211"/>
      <c r="D20" s="78"/>
      <c r="E20" s="78"/>
      <c r="F20" s="78"/>
      <c r="G20" s="78"/>
      <c r="H20" s="79">
        <f t="shared" si="3"/>
        <v>0</v>
      </c>
      <c r="I20" s="78"/>
      <c r="J20" s="78"/>
      <c r="K20" s="78"/>
      <c r="L20" s="78"/>
      <c r="M20" s="89">
        <f t="shared" si="4"/>
        <v>0</v>
      </c>
      <c r="N20" s="86"/>
      <c r="O20" s="86"/>
      <c r="P20" s="86"/>
      <c r="Q20" s="86"/>
      <c r="R20" s="87"/>
      <c r="S20" s="32"/>
      <c r="T20" s="32"/>
    </row>
    <row r="21" spans="1:20" ht="15" x14ac:dyDescent="0.25">
      <c r="A21" s="88">
        <v>4</v>
      </c>
      <c r="B21" s="77"/>
      <c r="C21" s="211"/>
      <c r="D21" s="78"/>
      <c r="E21" s="78"/>
      <c r="F21" s="78"/>
      <c r="G21" s="78"/>
      <c r="H21" s="79">
        <f t="shared" si="3"/>
        <v>0</v>
      </c>
      <c r="I21" s="78"/>
      <c r="J21" s="78"/>
      <c r="K21" s="78"/>
      <c r="L21" s="78"/>
      <c r="M21" s="89">
        <f t="shared" si="4"/>
        <v>0</v>
      </c>
      <c r="N21" s="86"/>
      <c r="O21" s="86"/>
      <c r="P21" s="86"/>
      <c r="Q21" s="86"/>
      <c r="R21" s="87"/>
      <c r="S21" s="32"/>
      <c r="T21" s="32"/>
    </row>
    <row r="22" spans="1:20" ht="15.75" thickBot="1" x14ac:dyDescent="0.3">
      <c r="A22" s="90">
        <v>5</v>
      </c>
      <c r="B22" s="91"/>
      <c r="C22" s="212"/>
      <c r="D22" s="92"/>
      <c r="E22" s="92"/>
      <c r="F22" s="92"/>
      <c r="G22" s="92"/>
      <c r="H22" s="93">
        <f t="shared" si="3"/>
        <v>0</v>
      </c>
      <c r="I22" s="92"/>
      <c r="J22" s="92"/>
      <c r="K22" s="92"/>
      <c r="L22" s="92"/>
      <c r="M22" s="94">
        <f t="shared" si="4"/>
        <v>0</v>
      </c>
      <c r="N22" s="86"/>
      <c r="O22" s="86"/>
      <c r="P22" s="86"/>
      <c r="Q22" s="86"/>
      <c r="R22" s="87"/>
      <c r="S22" s="32"/>
      <c r="T22" s="32"/>
    </row>
    <row r="23" spans="1:20" ht="15" x14ac:dyDescent="0.25">
      <c r="A23" s="80"/>
      <c r="B23" s="80"/>
      <c r="C23" s="209"/>
      <c r="D23" s="80"/>
      <c r="E23" s="80"/>
      <c r="F23" s="80"/>
      <c r="G23" s="80"/>
      <c r="H23" s="80"/>
      <c r="I23" s="80"/>
      <c r="J23" s="80"/>
      <c r="K23" s="80"/>
      <c r="L23" s="80"/>
      <c r="M23" s="80"/>
      <c r="N23" s="80"/>
      <c r="O23" s="80"/>
      <c r="P23" s="80"/>
      <c r="Q23" s="80"/>
      <c r="R23" s="80"/>
      <c r="S23" s="32"/>
      <c r="T23" s="32"/>
    </row>
    <row r="24" spans="1:20" ht="15" x14ac:dyDescent="0.25">
      <c r="A24" s="80"/>
      <c r="B24" s="80"/>
      <c r="C24" s="209"/>
      <c r="D24" s="80"/>
      <c r="E24" s="80"/>
      <c r="F24" s="80"/>
      <c r="G24" s="80"/>
      <c r="H24" s="80"/>
      <c r="I24" s="80"/>
      <c r="J24" s="80"/>
      <c r="K24" s="80"/>
      <c r="L24" s="80"/>
      <c r="M24" s="80"/>
      <c r="N24" s="80"/>
      <c r="O24" s="80"/>
      <c r="P24" s="80"/>
      <c r="Q24" s="80"/>
      <c r="R24" s="80"/>
      <c r="S24" s="32"/>
      <c r="T24" s="32"/>
    </row>
    <row r="25" spans="1:20" ht="15.75" x14ac:dyDescent="0.25">
      <c r="A25" s="81" t="s">
        <v>235</v>
      </c>
      <c r="B25" s="80"/>
      <c r="C25" s="209"/>
      <c r="D25" s="80"/>
      <c r="E25" s="80"/>
      <c r="F25" s="80"/>
      <c r="G25" s="80"/>
      <c r="H25" s="80"/>
      <c r="I25" s="80"/>
      <c r="J25" s="80"/>
      <c r="K25" s="80"/>
      <c r="L25" s="80"/>
      <c r="M25" s="80"/>
      <c r="N25" s="80"/>
      <c r="O25" s="80"/>
      <c r="P25" s="80"/>
      <c r="Q25" s="80"/>
      <c r="R25" s="80"/>
      <c r="S25" s="32"/>
      <c r="T25" s="32"/>
    </row>
    <row r="26" spans="1:20" ht="15.75" thickBot="1" x14ac:dyDescent="0.3">
      <c r="A26" s="80"/>
      <c r="B26" s="80"/>
      <c r="C26" s="209"/>
      <c r="D26" s="80"/>
      <c r="E26" s="80"/>
      <c r="F26" s="80"/>
      <c r="G26" s="80"/>
      <c r="H26" s="80"/>
      <c r="I26" s="80"/>
      <c r="J26" s="80"/>
      <c r="K26" s="80"/>
      <c r="L26" s="80"/>
      <c r="M26" s="80"/>
      <c r="N26" s="80"/>
      <c r="O26" s="80"/>
      <c r="P26" s="80"/>
      <c r="Q26" s="80"/>
      <c r="R26" s="80"/>
      <c r="S26" s="32"/>
      <c r="T26" s="32"/>
    </row>
    <row r="27" spans="1:20" ht="15.75" thickBot="1" x14ac:dyDescent="0.3">
      <c r="A27" s="285" t="s">
        <v>201</v>
      </c>
      <c r="B27" s="286" t="s">
        <v>224</v>
      </c>
      <c r="C27" s="286" t="s">
        <v>225</v>
      </c>
      <c r="D27" s="287" t="s">
        <v>226</v>
      </c>
      <c r="E27" s="287"/>
      <c r="F27" s="287"/>
      <c r="G27" s="287"/>
      <c r="H27" s="287"/>
      <c r="I27" s="287" t="s">
        <v>236</v>
      </c>
      <c r="J27" s="287"/>
      <c r="K27" s="287"/>
      <c r="L27" s="287"/>
      <c r="M27" s="287"/>
      <c r="N27" s="80"/>
      <c r="O27" s="80"/>
      <c r="P27" s="95" t="s">
        <v>229</v>
      </c>
      <c r="Q27" s="80"/>
      <c r="R27" s="80"/>
      <c r="S27" s="32"/>
      <c r="T27" s="32"/>
    </row>
    <row r="28" spans="1:20" ht="15.75" thickBot="1" x14ac:dyDescent="0.3">
      <c r="A28" s="285"/>
      <c r="B28" s="286"/>
      <c r="C28" s="286"/>
      <c r="D28" s="70" t="s">
        <v>229</v>
      </c>
      <c r="E28" s="70" t="s">
        <v>230</v>
      </c>
      <c r="F28" s="70" t="s">
        <v>231</v>
      </c>
      <c r="G28" s="70" t="s">
        <v>232</v>
      </c>
      <c r="H28" s="70" t="s">
        <v>232</v>
      </c>
      <c r="I28" s="70" t="s">
        <v>229</v>
      </c>
      <c r="J28" s="70" t="s">
        <v>230</v>
      </c>
      <c r="K28" s="70" t="s">
        <v>231</v>
      </c>
      <c r="L28" s="70" t="s">
        <v>232</v>
      </c>
      <c r="M28" s="70" t="s">
        <v>232</v>
      </c>
      <c r="N28" s="80"/>
      <c r="O28" s="80"/>
      <c r="P28" s="95" t="s">
        <v>230</v>
      </c>
      <c r="Q28" s="80"/>
      <c r="R28" s="80"/>
      <c r="S28" s="32"/>
      <c r="T28" s="32"/>
    </row>
    <row r="29" spans="1:20" ht="15" x14ac:dyDescent="0.25">
      <c r="A29" s="72">
        <v>1</v>
      </c>
      <c r="B29" s="73"/>
      <c r="C29" s="210" t="s">
        <v>231</v>
      </c>
      <c r="D29" s="74"/>
      <c r="E29" s="74"/>
      <c r="F29" s="74"/>
      <c r="G29" s="74"/>
      <c r="H29" s="75">
        <f>(D29*0.0254)+(E29*0.3048)+(F29*0.001)+(G29*1)</f>
        <v>0</v>
      </c>
      <c r="I29" s="74"/>
      <c r="J29" s="74"/>
      <c r="K29" s="74"/>
      <c r="L29" s="74"/>
      <c r="M29" s="75">
        <f>(I29*0.0254)+(J29*0.3048)+(K29*0.001)+(L29*1)</f>
        <v>0</v>
      </c>
      <c r="N29" s="80"/>
      <c r="O29" s="80"/>
      <c r="P29" s="95" t="s">
        <v>231</v>
      </c>
      <c r="Q29" s="80"/>
      <c r="R29" s="80"/>
      <c r="S29" s="32"/>
      <c r="T29" s="32"/>
    </row>
    <row r="30" spans="1:20" ht="15" x14ac:dyDescent="0.25">
      <c r="A30" s="76">
        <v>2</v>
      </c>
      <c r="B30" s="77"/>
      <c r="C30" s="211"/>
      <c r="D30" s="78"/>
      <c r="E30" s="78"/>
      <c r="F30" s="78"/>
      <c r="G30" s="78"/>
      <c r="H30" s="79">
        <f t="shared" ref="H30:H33" si="5">(D30*0.0254)+(E30*0.3048)+(F30*0.001)+(G30*1)</f>
        <v>0</v>
      </c>
      <c r="I30" s="78"/>
      <c r="J30" s="78"/>
      <c r="K30" s="78"/>
      <c r="L30" s="78"/>
      <c r="M30" s="79">
        <f t="shared" ref="M30:M33" si="6">(I30*0.0254)+(J30*0.3048)+(K30*0.001)+(L30*1)</f>
        <v>0</v>
      </c>
      <c r="N30" s="80"/>
      <c r="O30" s="80"/>
      <c r="P30" s="95" t="s">
        <v>232</v>
      </c>
      <c r="Q30" s="80"/>
      <c r="R30" s="80"/>
      <c r="S30" s="32"/>
      <c r="T30" s="32"/>
    </row>
    <row r="31" spans="1:20" ht="15" x14ac:dyDescent="0.25">
      <c r="A31" s="76">
        <v>3</v>
      </c>
      <c r="B31" s="77"/>
      <c r="C31" s="211"/>
      <c r="D31" s="78"/>
      <c r="E31" s="78"/>
      <c r="F31" s="78"/>
      <c r="G31" s="78"/>
      <c r="H31" s="79">
        <f t="shared" si="5"/>
        <v>0</v>
      </c>
      <c r="I31" s="78"/>
      <c r="J31" s="78"/>
      <c r="K31" s="78"/>
      <c r="L31" s="78"/>
      <c r="M31" s="79">
        <f t="shared" si="6"/>
        <v>0</v>
      </c>
      <c r="N31" s="80"/>
      <c r="O31" s="80"/>
      <c r="P31" s="80"/>
      <c r="Q31" s="80"/>
      <c r="R31" s="80"/>
      <c r="S31" s="32"/>
      <c r="T31" s="32"/>
    </row>
    <row r="32" spans="1:20" ht="15" x14ac:dyDescent="0.25">
      <c r="A32" s="76">
        <v>4</v>
      </c>
      <c r="B32" s="77"/>
      <c r="C32" s="211"/>
      <c r="D32" s="78"/>
      <c r="E32" s="78"/>
      <c r="F32" s="78"/>
      <c r="G32" s="78"/>
      <c r="H32" s="79">
        <f t="shared" si="5"/>
        <v>0</v>
      </c>
      <c r="I32" s="78"/>
      <c r="J32" s="78"/>
      <c r="K32" s="78"/>
      <c r="L32" s="78"/>
      <c r="M32" s="79">
        <f t="shared" si="6"/>
        <v>0</v>
      </c>
      <c r="N32" s="80"/>
      <c r="O32" s="80"/>
      <c r="P32" s="80"/>
      <c r="Q32" s="80"/>
      <c r="R32" s="80"/>
      <c r="S32" s="32"/>
      <c r="T32" s="32"/>
    </row>
    <row r="33" spans="1:20" ht="15" x14ac:dyDescent="0.25">
      <c r="A33" s="76">
        <v>5</v>
      </c>
      <c r="B33" s="77"/>
      <c r="C33" s="211"/>
      <c r="D33" s="78"/>
      <c r="E33" s="78"/>
      <c r="F33" s="78"/>
      <c r="G33" s="78"/>
      <c r="H33" s="79">
        <f t="shared" si="5"/>
        <v>0</v>
      </c>
      <c r="I33" s="78"/>
      <c r="J33" s="78"/>
      <c r="K33" s="78"/>
      <c r="L33" s="78"/>
      <c r="M33" s="79">
        <f t="shared" si="6"/>
        <v>0</v>
      </c>
      <c r="N33" s="80"/>
      <c r="O33" s="80"/>
      <c r="P33" s="80"/>
      <c r="Q33" s="80"/>
      <c r="R33" s="80"/>
      <c r="S33" s="32"/>
      <c r="T33" s="32"/>
    </row>
    <row r="34" spans="1:20" ht="15" x14ac:dyDescent="0.25">
      <c r="A34" s="80"/>
      <c r="B34" s="80"/>
      <c r="C34" s="209"/>
      <c r="D34" s="80"/>
      <c r="E34" s="80"/>
      <c r="F34" s="80"/>
      <c r="G34" s="80"/>
      <c r="H34" s="80"/>
      <c r="I34" s="80"/>
      <c r="J34" s="80"/>
      <c r="K34" s="80"/>
      <c r="L34" s="80"/>
      <c r="M34" s="80"/>
      <c r="N34" s="80"/>
      <c r="O34" s="80"/>
      <c r="P34" s="80"/>
      <c r="Q34" s="80"/>
      <c r="R34" s="80"/>
      <c r="S34" s="32"/>
      <c r="T34" s="32"/>
    </row>
    <row r="35" spans="1:20" ht="15" x14ac:dyDescent="0.25">
      <c r="A35" s="80"/>
      <c r="B35" s="80"/>
      <c r="C35" s="209"/>
      <c r="D35" s="80"/>
      <c r="E35" s="80"/>
      <c r="F35" s="80"/>
      <c r="G35" s="80"/>
      <c r="H35" s="80"/>
      <c r="I35" s="80"/>
      <c r="J35" s="80"/>
      <c r="K35" s="80"/>
      <c r="L35" s="80"/>
      <c r="M35" s="80"/>
      <c r="N35" s="80"/>
      <c r="O35" s="80"/>
      <c r="P35" s="80"/>
      <c r="Q35" s="80"/>
      <c r="R35" s="80"/>
      <c r="S35" s="32"/>
      <c r="T35" s="32"/>
    </row>
    <row r="36" spans="1:20" s="31" customFormat="1" ht="15.75" x14ac:dyDescent="0.25">
      <c r="A36" s="81" t="s">
        <v>237</v>
      </c>
      <c r="B36" s="81"/>
      <c r="C36" s="213"/>
      <c r="D36" s="81"/>
      <c r="E36" s="81"/>
      <c r="F36" s="81"/>
      <c r="G36" s="81"/>
      <c r="H36" s="81"/>
      <c r="I36" s="81"/>
      <c r="J36" s="81"/>
      <c r="K36" s="81"/>
      <c r="L36" s="81"/>
      <c r="M36" s="81"/>
      <c r="N36" s="81"/>
      <c r="O36" s="81"/>
      <c r="P36" s="81"/>
      <c r="Q36" s="81"/>
      <c r="R36" s="81"/>
      <c r="S36" s="33"/>
      <c r="T36" s="33"/>
    </row>
    <row r="37" spans="1:20" ht="15.75" thickBot="1" x14ac:dyDescent="0.3">
      <c r="A37" s="80"/>
      <c r="B37" s="80"/>
      <c r="C37" s="209"/>
      <c r="D37" s="80"/>
      <c r="E37" s="80"/>
      <c r="F37" s="80"/>
      <c r="G37" s="80"/>
      <c r="H37" s="80"/>
      <c r="I37" s="80"/>
      <c r="J37" s="80"/>
      <c r="K37" s="80"/>
      <c r="L37" s="80"/>
      <c r="M37" s="80"/>
      <c r="N37" s="80"/>
      <c r="O37" s="80"/>
      <c r="P37" s="80"/>
      <c r="Q37" s="80"/>
      <c r="R37" s="80"/>
      <c r="S37" s="32"/>
      <c r="T37" s="32"/>
    </row>
    <row r="38" spans="1:20" ht="15.75" thickBot="1" x14ac:dyDescent="0.3">
      <c r="A38" s="285" t="s">
        <v>201</v>
      </c>
      <c r="B38" s="286" t="s">
        <v>224</v>
      </c>
      <c r="C38" s="286" t="s">
        <v>225</v>
      </c>
      <c r="D38" s="287" t="s">
        <v>226</v>
      </c>
      <c r="E38" s="287"/>
      <c r="F38" s="287"/>
      <c r="G38" s="287"/>
      <c r="H38" s="287"/>
      <c r="I38" s="287" t="s">
        <v>238</v>
      </c>
      <c r="J38" s="287"/>
      <c r="K38" s="287"/>
      <c r="L38" s="287"/>
      <c r="M38" s="287"/>
      <c r="N38" s="287" t="s">
        <v>239</v>
      </c>
      <c r="O38" s="287"/>
      <c r="P38" s="287"/>
      <c r="Q38" s="287"/>
      <c r="R38" s="287"/>
      <c r="S38" s="32"/>
      <c r="T38" s="32"/>
    </row>
    <row r="39" spans="1:20" ht="15.75" thickBot="1" x14ac:dyDescent="0.3">
      <c r="A39" s="285"/>
      <c r="B39" s="286"/>
      <c r="C39" s="286"/>
      <c r="D39" s="70" t="s">
        <v>229</v>
      </c>
      <c r="E39" s="70" t="s">
        <v>230</v>
      </c>
      <c r="F39" s="70" t="s">
        <v>231</v>
      </c>
      <c r="G39" s="70" t="s">
        <v>232</v>
      </c>
      <c r="H39" s="70" t="s">
        <v>232</v>
      </c>
      <c r="I39" s="70" t="s">
        <v>229</v>
      </c>
      <c r="J39" s="70" t="s">
        <v>230</v>
      </c>
      <c r="K39" s="70" t="s">
        <v>231</v>
      </c>
      <c r="L39" s="70" t="s">
        <v>232</v>
      </c>
      <c r="M39" s="70" t="s">
        <v>232</v>
      </c>
      <c r="N39" s="70" t="s">
        <v>229</v>
      </c>
      <c r="O39" s="70" t="s">
        <v>230</v>
      </c>
      <c r="P39" s="70" t="s">
        <v>231</v>
      </c>
      <c r="Q39" s="70" t="s">
        <v>232</v>
      </c>
      <c r="R39" s="70" t="s">
        <v>232</v>
      </c>
      <c r="S39" s="32"/>
      <c r="T39" s="32"/>
    </row>
    <row r="40" spans="1:20" ht="15" x14ac:dyDescent="0.25">
      <c r="A40" s="84">
        <v>1</v>
      </c>
      <c r="B40" s="73"/>
      <c r="C40" s="210" t="s">
        <v>229</v>
      </c>
      <c r="D40" s="74"/>
      <c r="E40" s="74"/>
      <c r="F40" s="74"/>
      <c r="G40" s="74"/>
      <c r="H40" s="75">
        <f>(D40*0.0254)+(E40*0.3048)+(F40*0.001)+(G40*1)</f>
        <v>0</v>
      </c>
      <c r="I40" s="74"/>
      <c r="J40" s="74"/>
      <c r="K40" s="74"/>
      <c r="L40" s="74"/>
      <c r="M40" s="75">
        <f>(I40*0.0254)+(J40*0.3048)+(K40*0.001)+(L40*1)</f>
        <v>0</v>
      </c>
      <c r="N40" s="74"/>
      <c r="O40" s="74"/>
      <c r="P40" s="74"/>
      <c r="Q40" s="74"/>
      <c r="R40" s="85">
        <f>(N40*0.0254)+(O40*0.3048)+(P40*0.001)+(Q40*1)</f>
        <v>0</v>
      </c>
      <c r="S40" s="32"/>
      <c r="T40" s="32"/>
    </row>
    <row r="41" spans="1:20" ht="15" x14ac:dyDescent="0.25">
      <c r="A41" s="88">
        <v>2</v>
      </c>
      <c r="B41" s="77"/>
      <c r="C41" s="211"/>
      <c r="D41" s="78"/>
      <c r="E41" s="78"/>
      <c r="F41" s="78"/>
      <c r="G41" s="78"/>
      <c r="H41" s="79">
        <f t="shared" ref="H41:H44" si="7">(D41*0.0254)+(E41*0.3048)+(F41*0.001)+(G41*1)</f>
        <v>0</v>
      </c>
      <c r="I41" s="78"/>
      <c r="J41" s="78"/>
      <c r="K41" s="78"/>
      <c r="L41" s="78"/>
      <c r="M41" s="79">
        <f t="shared" ref="M41:M44" si="8">(I41*0.0254)+(J41*0.3048)+(K41*0.001)+(L41*1)</f>
        <v>0</v>
      </c>
      <c r="N41" s="78"/>
      <c r="O41" s="78"/>
      <c r="P41" s="78"/>
      <c r="Q41" s="78"/>
      <c r="R41" s="89">
        <f t="shared" ref="R41:R44" si="9">(N41*0.0254)+(O41*0.3048)+(P41*0.001)+(Q41*1)</f>
        <v>0</v>
      </c>
      <c r="S41" s="32"/>
      <c r="T41" s="32"/>
    </row>
    <row r="42" spans="1:20" ht="15" x14ac:dyDescent="0.25">
      <c r="A42" s="88">
        <v>3</v>
      </c>
      <c r="B42" s="77"/>
      <c r="C42" s="211"/>
      <c r="D42" s="78"/>
      <c r="E42" s="78"/>
      <c r="F42" s="78"/>
      <c r="G42" s="78"/>
      <c r="H42" s="79">
        <f t="shared" si="7"/>
        <v>0</v>
      </c>
      <c r="I42" s="78"/>
      <c r="J42" s="78"/>
      <c r="K42" s="78"/>
      <c r="L42" s="78"/>
      <c r="M42" s="79">
        <f t="shared" si="8"/>
        <v>0</v>
      </c>
      <c r="N42" s="78"/>
      <c r="O42" s="78"/>
      <c r="P42" s="78"/>
      <c r="Q42" s="78"/>
      <c r="R42" s="89">
        <f t="shared" si="9"/>
        <v>0</v>
      </c>
      <c r="S42" s="32"/>
      <c r="T42" s="32"/>
    </row>
    <row r="43" spans="1:20" ht="15" x14ac:dyDescent="0.25">
      <c r="A43" s="88">
        <v>4</v>
      </c>
      <c r="B43" s="77"/>
      <c r="C43" s="211"/>
      <c r="D43" s="78"/>
      <c r="E43" s="78"/>
      <c r="F43" s="78"/>
      <c r="G43" s="78"/>
      <c r="H43" s="79">
        <f t="shared" si="7"/>
        <v>0</v>
      </c>
      <c r="I43" s="78"/>
      <c r="J43" s="78"/>
      <c r="K43" s="78"/>
      <c r="L43" s="78"/>
      <c r="M43" s="79">
        <f t="shared" si="8"/>
        <v>0</v>
      </c>
      <c r="N43" s="78"/>
      <c r="O43" s="78"/>
      <c r="P43" s="78"/>
      <c r="Q43" s="78"/>
      <c r="R43" s="89">
        <f t="shared" si="9"/>
        <v>0</v>
      </c>
      <c r="S43" s="32"/>
      <c r="T43" s="32"/>
    </row>
    <row r="44" spans="1:20" ht="15.75" thickBot="1" x14ac:dyDescent="0.3">
      <c r="A44" s="90">
        <v>5</v>
      </c>
      <c r="B44" s="91"/>
      <c r="C44" s="212"/>
      <c r="D44" s="92"/>
      <c r="E44" s="92"/>
      <c r="F44" s="92"/>
      <c r="G44" s="92"/>
      <c r="H44" s="93">
        <f t="shared" si="7"/>
        <v>0</v>
      </c>
      <c r="I44" s="92"/>
      <c r="J44" s="92"/>
      <c r="K44" s="92"/>
      <c r="L44" s="92"/>
      <c r="M44" s="93">
        <f t="shared" si="8"/>
        <v>0</v>
      </c>
      <c r="N44" s="92"/>
      <c r="O44" s="92"/>
      <c r="P44" s="92"/>
      <c r="Q44" s="92"/>
      <c r="R44" s="94">
        <f t="shared" si="9"/>
        <v>0</v>
      </c>
      <c r="S44" s="32"/>
      <c r="T44" s="32"/>
    </row>
  </sheetData>
  <mergeCells count="23">
    <mergeCell ref="A1:R1"/>
    <mergeCell ref="A5:A6"/>
    <mergeCell ref="B5:B6"/>
    <mergeCell ref="C5:C6"/>
    <mergeCell ref="D5:H5"/>
    <mergeCell ref="I5:M5"/>
    <mergeCell ref="N5:R5"/>
    <mergeCell ref="N38:R38"/>
    <mergeCell ref="A16:A17"/>
    <mergeCell ref="B16:B17"/>
    <mergeCell ref="C16:C17"/>
    <mergeCell ref="D16:H16"/>
    <mergeCell ref="I16:M16"/>
    <mergeCell ref="A27:A28"/>
    <mergeCell ref="B27:B28"/>
    <mergeCell ref="C27:C28"/>
    <mergeCell ref="D27:H27"/>
    <mergeCell ref="I27:M27"/>
    <mergeCell ref="A38:A39"/>
    <mergeCell ref="B38:B39"/>
    <mergeCell ref="C38:C39"/>
    <mergeCell ref="D38:H38"/>
    <mergeCell ref="I38:M38"/>
  </mergeCells>
  <dataValidations count="2">
    <dataValidation type="list" allowBlank="1" showInputMessage="1" showErrorMessage="1" sqref="C41:C44">
      <formula1>$T$7:$T$9</formula1>
    </dataValidation>
    <dataValidation type="list" allowBlank="1" showInputMessage="1" showErrorMessage="1" sqref="C7:C11 C18:C22 C29:C33 C40">
      <formula1>$P$27:$P$30</formula1>
    </dataValidation>
  </dataValidations>
  <pageMargins left="0.7" right="0.7" top="0.75" bottom="0.75" header="0.3" footer="0.3"/>
  <pageSetup orientation="portrait" horizontalDpi="0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Density!$B$9:$B$69</xm:f>
          </x14:formula1>
          <xm:sqref>B7:B11 B18:B22 B29:B33 B40:B44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1"/>
  <sheetViews>
    <sheetView workbookViewId="0">
      <selection activeCell="B19" sqref="B19"/>
    </sheetView>
  </sheetViews>
  <sheetFormatPr defaultRowHeight="15" x14ac:dyDescent="0.25"/>
  <cols>
    <col min="1" max="1" width="12.42578125" bestFit="1" customWidth="1"/>
  </cols>
  <sheetData>
    <row r="1" spans="1:4" x14ac:dyDescent="0.25">
      <c r="A1" s="304" t="s">
        <v>0</v>
      </c>
      <c r="B1" s="304"/>
      <c r="C1" s="304"/>
      <c r="D1" s="304"/>
    </row>
    <row r="2" spans="1:4" x14ac:dyDescent="0.25">
      <c r="A2" s="305" t="s">
        <v>1</v>
      </c>
      <c r="B2" s="305"/>
      <c r="C2" s="305"/>
      <c r="D2" s="305"/>
    </row>
    <row r="3" spans="1:4" x14ac:dyDescent="0.25">
      <c r="A3" s="305" t="s">
        <v>2</v>
      </c>
      <c r="B3" s="305"/>
      <c r="C3" s="305"/>
      <c r="D3" s="305"/>
    </row>
    <row r="4" spans="1:4" ht="16.5" thickBot="1" x14ac:dyDescent="0.3">
      <c r="A4" s="23"/>
      <c r="B4" s="23"/>
      <c r="C4" s="23"/>
      <c r="D4" s="23"/>
    </row>
    <row r="5" spans="1:4" ht="15.75" thickBot="1" x14ac:dyDescent="0.3">
      <c r="A5" s="154" t="s">
        <v>213</v>
      </c>
      <c r="B5" s="152" t="s">
        <v>214</v>
      </c>
      <c r="C5" s="299" t="s">
        <v>8</v>
      </c>
      <c r="D5" s="300"/>
    </row>
    <row r="6" spans="1:4" x14ac:dyDescent="0.25">
      <c r="A6" s="306" t="s">
        <v>212</v>
      </c>
      <c r="B6" s="150">
        <v>0</v>
      </c>
      <c r="C6" s="151"/>
      <c r="D6" s="45"/>
    </row>
    <row r="7" spans="1:4" x14ac:dyDescent="0.25">
      <c r="A7" s="306"/>
      <c r="B7" s="224">
        <v>10</v>
      </c>
      <c r="C7" s="151"/>
      <c r="D7" s="45"/>
    </row>
    <row r="8" spans="1:4" x14ac:dyDescent="0.25">
      <c r="A8" s="307"/>
      <c r="B8" s="145">
        <v>15</v>
      </c>
      <c r="C8" s="11"/>
      <c r="D8" s="46"/>
    </row>
    <row r="9" spans="1:4" x14ac:dyDescent="0.25">
      <c r="A9" s="307"/>
      <c r="B9" s="145">
        <v>20</v>
      </c>
      <c r="C9" s="11"/>
      <c r="D9" s="46"/>
    </row>
    <row r="10" spans="1:4" x14ac:dyDescent="0.25">
      <c r="A10" s="307"/>
      <c r="B10" s="145">
        <v>25</v>
      </c>
      <c r="C10" s="11"/>
      <c r="D10" s="46"/>
    </row>
    <row r="11" spans="1:4" x14ac:dyDescent="0.25">
      <c r="A11" s="307"/>
      <c r="B11" s="145">
        <v>30</v>
      </c>
      <c r="C11" s="11"/>
      <c r="D11" s="46"/>
    </row>
    <row r="12" spans="1:4" x14ac:dyDescent="0.25">
      <c r="A12" s="307"/>
      <c r="B12" s="145">
        <v>35</v>
      </c>
      <c r="C12" s="11"/>
      <c r="D12" s="46"/>
    </row>
    <row r="13" spans="1:4" x14ac:dyDescent="0.25">
      <c r="A13" s="307"/>
      <c r="B13" s="145">
        <v>40</v>
      </c>
      <c r="C13" s="11"/>
      <c r="D13" s="46"/>
    </row>
    <row r="14" spans="1:4" x14ac:dyDescent="0.25">
      <c r="A14" s="307"/>
      <c r="B14" s="145">
        <v>45</v>
      </c>
      <c r="C14" s="11"/>
      <c r="D14" s="46"/>
    </row>
    <row r="15" spans="1:4" ht="15.75" thickBot="1" x14ac:dyDescent="0.3">
      <c r="A15" s="307"/>
      <c r="B15" s="146">
        <v>50</v>
      </c>
      <c r="C15" s="147"/>
      <c r="D15" s="47"/>
    </row>
    <row r="16" spans="1:4" ht="15.75" thickBot="1" x14ac:dyDescent="0.3"/>
    <row r="17" spans="1:4" ht="15.75" thickBot="1" x14ac:dyDescent="0.3">
      <c r="A17" s="152" t="s">
        <v>213</v>
      </c>
      <c r="B17" s="153" t="s">
        <v>214</v>
      </c>
      <c r="C17" s="299" t="s">
        <v>8</v>
      </c>
      <c r="D17" s="300"/>
    </row>
    <row r="18" spans="1:4" x14ac:dyDescent="0.25">
      <c r="A18" s="297" t="s">
        <v>215</v>
      </c>
      <c r="B18" s="40">
        <v>0</v>
      </c>
      <c r="C18" s="151"/>
      <c r="D18" s="45"/>
    </row>
    <row r="19" spans="1:4" x14ac:dyDescent="0.25">
      <c r="A19" s="297"/>
      <c r="B19" s="40">
        <v>5</v>
      </c>
      <c r="C19" s="151"/>
      <c r="D19" s="45"/>
    </row>
    <row r="20" spans="1:4" x14ac:dyDescent="0.25">
      <c r="A20" s="297"/>
      <c r="B20" s="39">
        <v>7.5</v>
      </c>
      <c r="C20" s="11"/>
      <c r="D20" s="46"/>
    </row>
    <row r="21" spans="1:4" x14ac:dyDescent="0.25">
      <c r="A21" s="297"/>
      <c r="B21" s="39">
        <v>10</v>
      </c>
      <c r="C21" s="11"/>
      <c r="D21" s="46"/>
    </row>
    <row r="22" spans="1:4" ht="15.75" thickBot="1" x14ac:dyDescent="0.3">
      <c r="A22" s="298"/>
      <c r="B22" s="148">
        <v>15</v>
      </c>
      <c r="C22" s="147"/>
      <c r="D22" s="47"/>
    </row>
    <row r="23" spans="1:4" ht="15.75" thickBot="1" x14ac:dyDescent="0.3">
      <c r="A23" s="25"/>
      <c r="B23" s="26"/>
      <c r="C23" s="4"/>
      <c r="D23" s="4"/>
    </row>
    <row r="24" spans="1:4" ht="15.75" thickBot="1" x14ac:dyDescent="0.3">
      <c r="A24" s="152" t="s">
        <v>213</v>
      </c>
      <c r="B24" s="153" t="s">
        <v>217</v>
      </c>
      <c r="C24" s="299" t="s">
        <v>8</v>
      </c>
      <c r="D24" s="300"/>
    </row>
    <row r="25" spans="1:4" x14ac:dyDescent="0.25">
      <c r="A25" s="301" t="s">
        <v>216</v>
      </c>
      <c r="B25" s="40">
        <v>1</v>
      </c>
      <c r="C25" s="151"/>
      <c r="D25" s="45"/>
    </row>
    <row r="26" spans="1:4" x14ac:dyDescent="0.25">
      <c r="A26" s="302"/>
      <c r="B26" s="39">
        <v>1.5</v>
      </c>
      <c r="C26" s="11"/>
      <c r="D26" s="46"/>
    </row>
    <row r="27" spans="1:4" x14ac:dyDescent="0.25">
      <c r="A27" s="302"/>
      <c r="B27" s="39">
        <v>2</v>
      </c>
      <c r="C27" s="11"/>
      <c r="D27" s="46"/>
    </row>
    <row r="28" spans="1:4" x14ac:dyDescent="0.25">
      <c r="A28" s="302"/>
      <c r="B28" s="39">
        <v>2.5</v>
      </c>
      <c r="C28" s="11"/>
      <c r="D28" s="46"/>
    </row>
    <row r="29" spans="1:4" x14ac:dyDescent="0.25">
      <c r="A29" s="302"/>
      <c r="B29" s="39">
        <v>3</v>
      </c>
      <c r="C29" s="11"/>
      <c r="D29" s="46"/>
    </row>
    <row r="30" spans="1:4" x14ac:dyDescent="0.25">
      <c r="A30" s="302"/>
      <c r="B30" s="39">
        <v>3.5</v>
      </c>
      <c r="C30" s="11"/>
      <c r="D30" s="46"/>
    </row>
    <row r="31" spans="1:4" x14ac:dyDescent="0.25">
      <c r="A31" s="302"/>
      <c r="B31" s="39">
        <v>4</v>
      </c>
      <c r="C31" s="11"/>
      <c r="D31" s="46"/>
    </row>
    <row r="32" spans="1:4" x14ac:dyDescent="0.25">
      <c r="A32" s="302"/>
      <c r="B32" s="39">
        <v>4.5</v>
      </c>
      <c r="C32" s="11"/>
      <c r="D32" s="46"/>
    </row>
    <row r="33" spans="1:4" x14ac:dyDescent="0.25">
      <c r="A33" s="302"/>
      <c r="B33" s="39">
        <v>6</v>
      </c>
      <c r="C33" s="11"/>
      <c r="D33" s="46"/>
    </row>
    <row r="34" spans="1:4" x14ac:dyDescent="0.25">
      <c r="A34" s="302"/>
      <c r="B34" s="27">
        <v>6.5</v>
      </c>
      <c r="C34" s="11"/>
      <c r="D34" s="46"/>
    </row>
    <row r="35" spans="1:4" x14ac:dyDescent="0.25">
      <c r="A35" s="302"/>
      <c r="B35" s="27">
        <v>7</v>
      </c>
      <c r="C35" s="11"/>
      <c r="D35" s="46"/>
    </row>
    <row r="36" spans="1:4" x14ac:dyDescent="0.25">
      <c r="A36" s="302"/>
      <c r="B36" s="27">
        <v>7.5</v>
      </c>
      <c r="C36" s="11"/>
      <c r="D36" s="46"/>
    </row>
    <row r="37" spans="1:4" x14ac:dyDescent="0.25">
      <c r="A37" s="302"/>
      <c r="B37" s="27">
        <v>8</v>
      </c>
      <c r="C37" s="11"/>
      <c r="D37" s="46"/>
    </row>
    <row r="38" spans="1:4" x14ac:dyDescent="0.25">
      <c r="A38" s="302"/>
      <c r="B38" s="27">
        <v>8.5</v>
      </c>
      <c r="C38" s="11"/>
      <c r="D38" s="46"/>
    </row>
    <row r="39" spans="1:4" x14ac:dyDescent="0.25">
      <c r="A39" s="302"/>
      <c r="B39" s="27">
        <v>9</v>
      </c>
      <c r="C39" s="11"/>
      <c r="D39" s="46"/>
    </row>
    <row r="40" spans="1:4" x14ac:dyDescent="0.25">
      <c r="A40" s="302"/>
      <c r="B40" s="27">
        <v>9.5</v>
      </c>
      <c r="C40" s="11"/>
      <c r="D40" s="46"/>
    </row>
    <row r="41" spans="1:4" ht="15.75" thickBot="1" x14ac:dyDescent="0.3">
      <c r="A41" s="303"/>
      <c r="B41" s="149">
        <v>10</v>
      </c>
      <c r="C41" s="147"/>
      <c r="D41" s="47"/>
    </row>
  </sheetData>
  <mergeCells count="9">
    <mergeCell ref="A18:A22"/>
    <mergeCell ref="C24:D24"/>
    <mergeCell ref="A25:A41"/>
    <mergeCell ref="A1:D1"/>
    <mergeCell ref="A2:D2"/>
    <mergeCell ref="A3:D3"/>
    <mergeCell ref="A6:A15"/>
    <mergeCell ref="C5:D5"/>
    <mergeCell ref="C17:D17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9"/>
  <sheetViews>
    <sheetView workbookViewId="0">
      <selection activeCell="F9" sqref="F9"/>
    </sheetView>
  </sheetViews>
  <sheetFormatPr defaultRowHeight="15" x14ac:dyDescent="0.25"/>
  <cols>
    <col min="1" max="1" width="5.42578125" bestFit="1" customWidth="1"/>
    <col min="2" max="2" width="34" customWidth="1"/>
    <col min="3" max="3" width="9.42578125" bestFit="1" customWidth="1"/>
    <col min="4" max="4" width="11.28515625" customWidth="1"/>
    <col min="5" max="5" width="12.5703125" customWidth="1"/>
    <col min="6" max="6" width="20.42578125" bestFit="1" customWidth="1"/>
  </cols>
  <sheetData>
    <row r="1" spans="1:5" ht="22.5" x14ac:dyDescent="0.25">
      <c r="A1" s="247" t="s">
        <v>0</v>
      </c>
      <c r="B1" s="247"/>
      <c r="C1" s="247"/>
      <c r="D1" s="247"/>
      <c r="E1" s="15"/>
    </row>
    <row r="2" spans="1:5" ht="15.75" x14ac:dyDescent="0.25">
      <c r="A2" s="308" t="s">
        <v>1</v>
      </c>
      <c r="B2" s="308"/>
      <c r="C2" s="308"/>
      <c r="D2" s="308"/>
      <c r="E2" s="16"/>
    </row>
    <row r="3" spans="1:5" ht="15.75" x14ac:dyDescent="0.25">
      <c r="A3" s="308" t="s">
        <v>2</v>
      </c>
      <c r="B3" s="308"/>
      <c r="C3" s="308"/>
      <c r="D3" s="308"/>
      <c r="E3" s="16"/>
    </row>
    <row r="4" spans="1:5" ht="15.75" x14ac:dyDescent="0.25">
      <c r="A4" s="5"/>
      <c r="B4" s="5"/>
      <c r="C4" s="5"/>
      <c r="D4" s="5"/>
      <c r="E4" s="5"/>
    </row>
    <row r="6" spans="1:5" ht="15.75" customHeight="1" x14ac:dyDescent="0.25">
      <c r="A6" s="310" t="s">
        <v>3</v>
      </c>
      <c r="B6" s="313" t="s">
        <v>106</v>
      </c>
      <c r="C6" s="314" t="s">
        <v>107</v>
      </c>
      <c r="D6" s="309" t="s">
        <v>8</v>
      </c>
    </row>
    <row r="7" spans="1:5" ht="15.75" customHeight="1" x14ac:dyDescent="0.25">
      <c r="A7" s="311"/>
      <c r="B7" s="313"/>
      <c r="C7" s="315"/>
      <c r="D7" s="309"/>
    </row>
    <row r="8" spans="1:5" ht="33.75" x14ac:dyDescent="0.25">
      <c r="A8" s="312"/>
      <c r="B8" s="313"/>
      <c r="C8" s="6" t="s">
        <v>108</v>
      </c>
      <c r="D8" s="309"/>
    </row>
    <row r="9" spans="1:5" ht="15" customHeight="1" x14ac:dyDescent="0.25">
      <c r="A9" s="9" t="s">
        <v>12</v>
      </c>
      <c r="B9" s="7" t="s">
        <v>113</v>
      </c>
      <c r="C9" s="17">
        <v>2720</v>
      </c>
      <c r="D9" s="11"/>
    </row>
    <row r="10" spans="1:5" ht="15" customHeight="1" x14ac:dyDescent="0.25">
      <c r="A10" s="9" t="s">
        <v>14</v>
      </c>
      <c r="B10" s="7" t="s">
        <v>118</v>
      </c>
      <c r="C10" s="17">
        <v>8700</v>
      </c>
      <c r="D10" s="11"/>
    </row>
    <row r="11" spans="1:5" ht="15" customHeight="1" x14ac:dyDescent="0.25">
      <c r="A11" s="9" t="s">
        <v>16</v>
      </c>
      <c r="B11" s="12" t="s">
        <v>104</v>
      </c>
      <c r="C11" s="17">
        <v>7800</v>
      </c>
      <c r="D11" s="11"/>
    </row>
    <row r="12" spans="1:5" ht="15" customHeight="1" x14ac:dyDescent="0.25">
      <c r="A12" s="9" t="s">
        <v>18</v>
      </c>
      <c r="B12" s="7" t="s">
        <v>177</v>
      </c>
      <c r="C12" s="17">
        <v>7272</v>
      </c>
      <c r="D12" s="11"/>
    </row>
    <row r="13" spans="1:5" ht="15" customHeight="1" x14ac:dyDescent="0.25">
      <c r="A13" s="9" t="s">
        <v>20</v>
      </c>
      <c r="B13" s="7" t="s">
        <v>178</v>
      </c>
      <c r="C13" s="17">
        <v>8730</v>
      </c>
      <c r="D13" s="11"/>
    </row>
    <row r="14" spans="1:5" ht="15" customHeight="1" x14ac:dyDescent="0.25">
      <c r="A14" s="9" t="s">
        <v>22</v>
      </c>
      <c r="B14" s="7" t="s">
        <v>134</v>
      </c>
      <c r="C14" s="17">
        <v>8700</v>
      </c>
      <c r="D14" s="11"/>
    </row>
    <row r="15" spans="1:5" ht="15" customHeight="1" x14ac:dyDescent="0.25">
      <c r="A15" s="9" t="s">
        <v>24</v>
      </c>
      <c r="B15" s="7" t="s">
        <v>135</v>
      </c>
      <c r="C15" s="17">
        <v>8920</v>
      </c>
      <c r="D15" s="11"/>
    </row>
    <row r="16" spans="1:5" ht="15" customHeight="1" x14ac:dyDescent="0.25">
      <c r="A16" s="9" t="s">
        <v>26</v>
      </c>
      <c r="B16" s="7" t="s">
        <v>136</v>
      </c>
      <c r="C16" s="17">
        <v>8900</v>
      </c>
      <c r="D16" s="11"/>
    </row>
    <row r="17" spans="1:8" ht="15" customHeight="1" x14ac:dyDescent="0.25">
      <c r="A17" s="9" t="s">
        <v>28</v>
      </c>
      <c r="B17" s="12" t="s">
        <v>102</v>
      </c>
      <c r="C17" s="17">
        <v>7800</v>
      </c>
      <c r="D17" s="11"/>
    </row>
    <row r="18" spans="1:8" ht="15" customHeight="1" x14ac:dyDescent="0.25">
      <c r="A18" s="9" t="s">
        <v>30</v>
      </c>
      <c r="B18" s="7" t="s">
        <v>101</v>
      </c>
      <c r="C18" s="17">
        <v>7800</v>
      </c>
      <c r="D18" s="11"/>
    </row>
    <row r="19" spans="1:8" ht="15" customHeight="1" x14ac:dyDescent="0.25">
      <c r="A19" s="9" t="s">
        <v>32</v>
      </c>
      <c r="B19" s="7" t="s">
        <v>139</v>
      </c>
      <c r="C19" s="17">
        <v>7190</v>
      </c>
      <c r="D19" s="11"/>
    </row>
    <row r="20" spans="1:8" ht="15" customHeight="1" x14ac:dyDescent="0.25">
      <c r="A20" s="9" t="s">
        <v>34</v>
      </c>
      <c r="B20" s="7" t="s">
        <v>140</v>
      </c>
      <c r="C20" s="17">
        <v>8746</v>
      </c>
      <c r="D20" s="11"/>
    </row>
    <row r="21" spans="1:8" ht="15" customHeight="1" x14ac:dyDescent="0.25">
      <c r="A21" s="9" t="s">
        <v>35</v>
      </c>
      <c r="B21" s="7" t="s">
        <v>105</v>
      </c>
      <c r="C21" s="17">
        <v>8940</v>
      </c>
      <c r="D21" s="11"/>
      <c r="E21" s="13"/>
      <c r="F21" s="10"/>
      <c r="G21" s="14"/>
      <c r="H21" s="4"/>
    </row>
    <row r="22" spans="1:8" ht="15" customHeight="1" x14ac:dyDescent="0.25">
      <c r="A22" s="9" t="s">
        <v>36</v>
      </c>
      <c r="B22" s="7" t="s">
        <v>187</v>
      </c>
      <c r="C22" s="17">
        <v>7850</v>
      </c>
      <c r="D22" s="11"/>
      <c r="E22" s="13"/>
      <c r="F22" s="10"/>
      <c r="G22" s="14"/>
      <c r="H22" s="4"/>
    </row>
    <row r="23" spans="1:8" ht="15" customHeight="1" x14ac:dyDescent="0.25">
      <c r="A23" s="9" t="s">
        <v>38</v>
      </c>
      <c r="B23" s="7" t="s">
        <v>144</v>
      </c>
      <c r="C23" s="17">
        <v>8940</v>
      </c>
      <c r="D23" s="11"/>
      <c r="E23" s="13"/>
      <c r="F23" s="10"/>
      <c r="G23" s="14"/>
      <c r="H23" s="4"/>
    </row>
    <row r="24" spans="1:8" ht="15" customHeight="1" x14ac:dyDescent="0.25">
      <c r="A24" s="9" t="s">
        <v>40</v>
      </c>
      <c r="B24" s="7" t="s">
        <v>185</v>
      </c>
      <c r="C24" s="17">
        <v>7850</v>
      </c>
      <c r="D24" s="11"/>
      <c r="E24" s="13"/>
      <c r="F24" s="10"/>
      <c r="G24" s="14"/>
      <c r="H24" s="4"/>
    </row>
    <row r="25" spans="1:8" ht="15" customHeight="1" x14ac:dyDescent="0.25">
      <c r="A25" s="9" t="s">
        <v>42</v>
      </c>
      <c r="B25" s="7" t="s">
        <v>186</v>
      </c>
      <c r="C25" s="17">
        <v>7850</v>
      </c>
      <c r="D25" s="11"/>
      <c r="E25" s="13"/>
      <c r="F25" s="10"/>
      <c r="G25" s="14"/>
      <c r="H25" s="4"/>
    </row>
    <row r="26" spans="1:8" ht="15" customHeight="1" x14ac:dyDescent="0.25">
      <c r="A26" s="9" t="s">
        <v>44</v>
      </c>
      <c r="B26" s="7" t="s">
        <v>146</v>
      </c>
      <c r="C26" s="17">
        <v>8600</v>
      </c>
      <c r="D26" s="11"/>
      <c r="E26" s="13"/>
      <c r="F26" s="10"/>
      <c r="G26" s="14"/>
      <c r="H26" s="4"/>
    </row>
    <row r="27" spans="1:8" ht="15" customHeight="1" x14ac:dyDescent="0.25">
      <c r="A27" s="9" t="s">
        <v>46</v>
      </c>
      <c r="B27" s="7" t="s">
        <v>148</v>
      </c>
      <c r="C27" s="17">
        <v>2790</v>
      </c>
      <c r="D27" s="11"/>
      <c r="E27" s="13"/>
      <c r="F27" s="10"/>
      <c r="G27" s="14"/>
      <c r="H27" s="4"/>
    </row>
    <row r="28" spans="1:8" ht="15" customHeight="1" x14ac:dyDescent="0.25">
      <c r="A28" s="9" t="s">
        <v>48</v>
      </c>
      <c r="B28" s="12" t="s">
        <v>191</v>
      </c>
      <c r="C28" s="17">
        <v>7850</v>
      </c>
      <c r="D28" s="11"/>
      <c r="E28" s="13"/>
      <c r="F28" s="10"/>
      <c r="G28" s="14"/>
      <c r="H28" s="4"/>
    </row>
    <row r="29" spans="1:8" ht="15" customHeight="1" x14ac:dyDescent="0.25">
      <c r="A29" s="9" t="s">
        <v>50</v>
      </c>
      <c r="B29" s="12" t="s">
        <v>192</v>
      </c>
      <c r="C29" s="17">
        <v>7850</v>
      </c>
      <c r="D29" s="11"/>
      <c r="E29" s="13"/>
      <c r="F29" s="10"/>
      <c r="G29" s="14"/>
      <c r="H29" s="4"/>
    </row>
    <row r="30" spans="1:8" ht="15" customHeight="1" x14ac:dyDescent="0.25">
      <c r="A30" s="9" t="s">
        <v>52</v>
      </c>
      <c r="B30" s="7" t="s">
        <v>153</v>
      </c>
      <c r="C30" s="17">
        <v>5323</v>
      </c>
      <c r="D30" s="11"/>
      <c r="E30" s="13"/>
      <c r="F30" s="10"/>
      <c r="G30" s="14"/>
      <c r="H30" s="4"/>
    </row>
    <row r="31" spans="1:8" ht="15" customHeight="1" x14ac:dyDescent="0.25">
      <c r="A31" s="9" t="s">
        <v>54</v>
      </c>
      <c r="B31" s="7" t="s">
        <v>155</v>
      </c>
      <c r="C31" s="17">
        <v>19320</v>
      </c>
      <c r="D31" s="11"/>
      <c r="E31" s="13"/>
      <c r="F31" s="10"/>
      <c r="G31" s="14"/>
      <c r="H31" s="4"/>
    </row>
    <row r="32" spans="1:8" x14ac:dyDescent="0.25">
      <c r="A32" s="9" t="s">
        <v>56</v>
      </c>
      <c r="B32" s="12" t="s">
        <v>103</v>
      </c>
      <c r="C32" s="17">
        <v>8920</v>
      </c>
      <c r="D32" s="11"/>
      <c r="E32" s="13"/>
      <c r="F32" s="10"/>
      <c r="G32" s="14"/>
      <c r="H32" s="4"/>
    </row>
    <row r="33" spans="1:8" x14ac:dyDescent="0.25">
      <c r="A33" s="9" t="s">
        <v>58</v>
      </c>
      <c r="B33" s="12" t="s">
        <v>196</v>
      </c>
      <c r="C33" s="17">
        <v>7800</v>
      </c>
      <c r="D33" s="11"/>
      <c r="E33" s="13"/>
      <c r="F33" s="10"/>
      <c r="G33" s="14"/>
      <c r="H33" s="4"/>
    </row>
    <row r="34" spans="1:8" x14ac:dyDescent="0.25">
      <c r="A34" s="9" t="s">
        <v>59</v>
      </c>
      <c r="B34" s="7" t="s">
        <v>179</v>
      </c>
      <c r="C34" s="17">
        <v>7850</v>
      </c>
      <c r="D34" s="11"/>
      <c r="E34" s="13"/>
      <c r="F34" s="10"/>
      <c r="G34" s="14"/>
      <c r="H34" s="4"/>
    </row>
    <row r="35" spans="1:8" x14ac:dyDescent="0.25">
      <c r="A35" s="9" t="s">
        <v>61</v>
      </c>
      <c r="B35" s="7" t="s">
        <v>116</v>
      </c>
      <c r="C35" s="17">
        <v>11340</v>
      </c>
      <c r="D35" s="11"/>
      <c r="E35" s="13"/>
      <c r="F35" s="10"/>
      <c r="G35" s="14"/>
      <c r="H35" s="4"/>
    </row>
    <row r="36" spans="1:8" x14ac:dyDescent="0.25">
      <c r="A36" s="9" t="s">
        <v>63</v>
      </c>
      <c r="B36" s="7" t="s">
        <v>121</v>
      </c>
      <c r="C36" s="17">
        <v>534</v>
      </c>
      <c r="D36" s="11"/>
      <c r="E36" s="13"/>
      <c r="F36" s="10"/>
      <c r="G36" s="14"/>
      <c r="H36" s="4"/>
    </row>
    <row r="37" spans="1:8" x14ac:dyDescent="0.25">
      <c r="A37" s="9" t="s">
        <v>65</v>
      </c>
      <c r="B37" s="7" t="s">
        <v>123</v>
      </c>
      <c r="C37" s="17">
        <v>1738</v>
      </c>
      <c r="D37" s="11"/>
      <c r="E37" s="13"/>
      <c r="F37" s="10"/>
      <c r="G37" s="14"/>
      <c r="H37" s="4"/>
    </row>
    <row r="38" spans="1:8" x14ac:dyDescent="0.25">
      <c r="A38" s="9" t="s">
        <v>67</v>
      </c>
      <c r="B38" s="7" t="s">
        <v>125</v>
      </c>
      <c r="C38" s="17">
        <v>7440</v>
      </c>
      <c r="D38" s="11"/>
      <c r="E38" s="13"/>
      <c r="F38" s="10"/>
      <c r="G38" s="14"/>
      <c r="H38" s="4"/>
    </row>
    <row r="39" spans="1:8" x14ac:dyDescent="0.25">
      <c r="A39" s="9" t="s">
        <v>69</v>
      </c>
      <c r="B39" s="7" t="s">
        <v>127</v>
      </c>
      <c r="C39" s="17">
        <v>8359</v>
      </c>
      <c r="D39" s="11"/>
      <c r="E39" s="13"/>
      <c r="F39" s="10"/>
      <c r="G39" s="14"/>
      <c r="H39" s="4"/>
    </row>
    <row r="40" spans="1:8" x14ac:dyDescent="0.25">
      <c r="A40" s="9" t="s">
        <v>70</v>
      </c>
      <c r="B40" s="7" t="s">
        <v>188</v>
      </c>
      <c r="C40" s="17">
        <v>7800</v>
      </c>
      <c r="D40" s="11"/>
      <c r="E40" s="13"/>
      <c r="F40" s="10"/>
      <c r="G40" s="14"/>
      <c r="H40" s="4"/>
    </row>
    <row r="41" spans="1:8" x14ac:dyDescent="0.25">
      <c r="A41" s="9" t="s">
        <v>71</v>
      </c>
      <c r="B41" s="7" t="s">
        <v>129</v>
      </c>
      <c r="C41" s="17">
        <v>13593</v>
      </c>
      <c r="D41" s="11"/>
      <c r="E41" s="13"/>
      <c r="F41" s="10"/>
      <c r="G41" s="14"/>
      <c r="H41" s="4"/>
    </row>
    <row r="42" spans="1:8" x14ac:dyDescent="0.25">
      <c r="A42" s="9" t="s">
        <v>73</v>
      </c>
      <c r="B42" s="7" t="s">
        <v>130</v>
      </c>
      <c r="C42" s="17">
        <v>10188</v>
      </c>
      <c r="D42" s="11"/>
      <c r="E42" s="13"/>
      <c r="F42" s="10"/>
      <c r="G42" s="14"/>
      <c r="H42" s="4"/>
    </row>
    <row r="43" spans="1:8" x14ac:dyDescent="0.25">
      <c r="A43" s="9" t="s">
        <v>75</v>
      </c>
      <c r="B43" s="7" t="s">
        <v>131</v>
      </c>
      <c r="C43" s="17">
        <v>8840</v>
      </c>
      <c r="D43" s="11"/>
    </row>
    <row r="44" spans="1:8" x14ac:dyDescent="0.25">
      <c r="A44" s="9" t="s">
        <v>77</v>
      </c>
      <c r="B44" s="7" t="s">
        <v>132</v>
      </c>
      <c r="C44" s="17">
        <v>8400</v>
      </c>
      <c r="D44" s="11"/>
    </row>
    <row r="45" spans="1:8" x14ac:dyDescent="0.25">
      <c r="A45" s="9" t="s">
        <v>78</v>
      </c>
      <c r="B45" s="7" t="s">
        <v>133</v>
      </c>
      <c r="C45" s="17">
        <v>8908</v>
      </c>
      <c r="D45" s="11"/>
    </row>
    <row r="46" spans="1:8" x14ac:dyDescent="0.25">
      <c r="A46" s="9" t="s">
        <v>80</v>
      </c>
      <c r="B46" s="7" t="s">
        <v>137</v>
      </c>
      <c r="C46" s="17">
        <v>8900</v>
      </c>
      <c r="D46" s="11"/>
    </row>
    <row r="47" spans="1:8" x14ac:dyDescent="0.25">
      <c r="A47" s="9" t="s">
        <v>82</v>
      </c>
      <c r="B47" s="12" t="s">
        <v>181</v>
      </c>
      <c r="C47" s="17">
        <v>7800</v>
      </c>
      <c r="D47" s="11"/>
    </row>
    <row r="48" spans="1:8" x14ac:dyDescent="0.25">
      <c r="A48" s="9" t="s">
        <v>84</v>
      </c>
      <c r="B48" s="7" t="s">
        <v>138</v>
      </c>
      <c r="C48" s="17">
        <v>8900</v>
      </c>
      <c r="D48" s="11"/>
    </row>
    <row r="49" spans="1:4" x14ac:dyDescent="0.25">
      <c r="A49" s="9" t="s">
        <v>86</v>
      </c>
      <c r="B49" s="7" t="s">
        <v>189</v>
      </c>
      <c r="C49" s="17">
        <v>7850</v>
      </c>
      <c r="D49" s="11"/>
    </row>
    <row r="50" spans="1:4" x14ac:dyDescent="0.25">
      <c r="A50" s="9" t="s">
        <v>88</v>
      </c>
      <c r="B50" s="7" t="s">
        <v>141</v>
      </c>
      <c r="C50" s="17">
        <v>8746</v>
      </c>
      <c r="D50" s="11"/>
    </row>
    <row r="51" spans="1:4" x14ac:dyDescent="0.25">
      <c r="A51" s="9" t="s">
        <v>90</v>
      </c>
      <c r="B51" s="7" t="s">
        <v>142</v>
      </c>
      <c r="C51" s="17">
        <v>10490</v>
      </c>
      <c r="D51" s="11"/>
    </row>
    <row r="52" spans="1:4" x14ac:dyDescent="0.25">
      <c r="A52" s="9" t="s">
        <v>91</v>
      </c>
      <c r="B52" s="12" t="s">
        <v>193</v>
      </c>
      <c r="C52" s="17">
        <v>7850</v>
      </c>
      <c r="D52" s="11"/>
    </row>
    <row r="53" spans="1:4" x14ac:dyDescent="0.25">
      <c r="A53" s="9" t="s">
        <v>92</v>
      </c>
      <c r="B53" s="7" t="s">
        <v>143</v>
      </c>
      <c r="C53" s="17">
        <v>8885</v>
      </c>
      <c r="D53" s="11"/>
    </row>
    <row r="54" spans="1:4" x14ac:dyDescent="0.25">
      <c r="A54" s="9" t="s">
        <v>94</v>
      </c>
      <c r="B54" s="7" t="s">
        <v>190</v>
      </c>
      <c r="C54" s="17">
        <v>8000</v>
      </c>
      <c r="D54" s="11"/>
    </row>
    <row r="55" spans="1:4" x14ac:dyDescent="0.25">
      <c r="A55" s="9" t="s">
        <v>96</v>
      </c>
      <c r="B55" s="12" t="s">
        <v>182</v>
      </c>
      <c r="C55" s="17">
        <v>7800</v>
      </c>
      <c r="D55" s="11"/>
    </row>
    <row r="56" spans="1:4" x14ac:dyDescent="0.25">
      <c r="A56" s="9" t="s">
        <v>98</v>
      </c>
      <c r="B56" s="7" t="s">
        <v>183</v>
      </c>
      <c r="C56" s="17">
        <v>8000</v>
      </c>
      <c r="D56" s="11"/>
    </row>
    <row r="57" spans="1:4" x14ac:dyDescent="0.25">
      <c r="A57" s="9" t="s">
        <v>109</v>
      </c>
      <c r="B57" s="7" t="s">
        <v>184</v>
      </c>
      <c r="C57" s="17">
        <v>8000</v>
      </c>
      <c r="D57" s="11"/>
    </row>
    <row r="58" spans="1:4" x14ac:dyDescent="0.25">
      <c r="A58" s="19" t="s">
        <v>110</v>
      </c>
      <c r="B58" s="7" t="s">
        <v>195</v>
      </c>
      <c r="C58" s="17">
        <v>8000</v>
      </c>
      <c r="D58" s="11"/>
    </row>
    <row r="59" spans="1:4" x14ac:dyDescent="0.25">
      <c r="A59" s="9" t="s">
        <v>111</v>
      </c>
      <c r="B59" s="7" t="s">
        <v>194</v>
      </c>
      <c r="C59" s="17">
        <v>8000</v>
      </c>
      <c r="D59" s="11"/>
    </row>
    <row r="60" spans="1:4" x14ac:dyDescent="0.25">
      <c r="A60" s="9" t="s">
        <v>112</v>
      </c>
      <c r="B60" s="7" t="s">
        <v>180</v>
      </c>
      <c r="C60" s="17">
        <v>8000</v>
      </c>
      <c r="D60" s="11"/>
    </row>
    <row r="61" spans="1:4" x14ac:dyDescent="0.25">
      <c r="A61" s="9" t="s">
        <v>114</v>
      </c>
      <c r="B61" s="7" t="s">
        <v>145</v>
      </c>
      <c r="C61" s="17">
        <v>7850</v>
      </c>
      <c r="D61" s="11"/>
    </row>
    <row r="62" spans="1:4" x14ac:dyDescent="0.25">
      <c r="A62" s="9" t="s">
        <v>115</v>
      </c>
      <c r="B62" s="7" t="s">
        <v>147</v>
      </c>
      <c r="C62" s="17">
        <v>7280</v>
      </c>
      <c r="D62" s="11"/>
    </row>
    <row r="63" spans="1:4" x14ac:dyDescent="0.25">
      <c r="A63" s="9" t="s">
        <v>117</v>
      </c>
      <c r="B63" s="7" t="s">
        <v>149</v>
      </c>
      <c r="C63" s="17">
        <v>4500</v>
      </c>
      <c r="D63" s="11"/>
    </row>
    <row r="64" spans="1:4" x14ac:dyDescent="0.25">
      <c r="A64" s="9" t="s">
        <v>119</v>
      </c>
      <c r="B64" s="7" t="s">
        <v>150</v>
      </c>
      <c r="C64" s="17">
        <v>19600</v>
      </c>
      <c r="D64" s="11"/>
    </row>
    <row r="65" spans="1:4" x14ac:dyDescent="0.25">
      <c r="A65" s="9" t="s">
        <v>120</v>
      </c>
      <c r="B65" s="7" t="s">
        <v>151</v>
      </c>
      <c r="C65" s="17">
        <v>5494</v>
      </c>
      <c r="D65" s="11"/>
    </row>
    <row r="66" spans="1:4" x14ac:dyDescent="0.25">
      <c r="A66" s="9" t="s">
        <v>122</v>
      </c>
      <c r="B66" s="7" t="s">
        <v>152</v>
      </c>
      <c r="C66" s="17">
        <v>7100</v>
      </c>
      <c r="D66" s="11"/>
    </row>
    <row r="67" spans="1:4" x14ac:dyDescent="0.25">
      <c r="A67" s="9" t="s">
        <v>124</v>
      </c>
      <c r="B67" s="7" t="s">
        <v>154</v>
      </c>
      <c r="C67" s="17">
        <v>7750</v>
      </c>
      <c r="D67" s="11"/>
    </row>
    <row r="68" spans="1:4" x14ac:dyDescent="0.25">
      <c r="A68" s="9" t="s">
        <v>126</v>
      </c>
      <c r="B68" s="7" t="s">
        <v>156</v>
      </c>
      <c r="C68" s="17">
        <v>7135</v>
      </c>
      <c r="D68" s="11"/>
    </row>
    <row r="69" spans="1:4" x14ac:dyDescent="0.25">
      <c r="A69" s="9" t="s">
        <v>128</v>
      </c>
      <c r="B69" s="7" t="s">
        <v>157</v>
      </c>
      <c r="C69" s="17">
        <v>8470</v>
      </c>
      <c r="D69" s="11"/>
    </row>
  </sheetData>
  <mergeCells count="7">
    <mergeCell ref="A1:D1"/>
    <mergeCell ref="A2:D2"/>
    <mergeCell ref="A3:D3"/>
    <mergeCell ref="D6:D8"/>
    <mergeCell ref="A6:A8"/>
    <mergeCell ref="B6:B8"/>
    <mergeCell ref="C6:C7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9"/>
  <sheetViews>
    <sheetView topLeftCell="A9" workbookViewId="0">
      <selection activeCell="F74" sqref="F74"/>
    </sheetView>
  </sheetViews>
  <sheetFormatPr defaultRowHeight="15" x14ac:dyDescent="0.25"/>
  <cols>
    <col min="1" max="1" width="5.42578125" bestFit="1" customWidth="1"/>
    <col min="2" max="2" width="31.5703125" customWidth="1"/>
    <col min="3" max="3" width="11.42578125" bestFit="1" customWidth="1"/>
    <col min="4" max="4" width="8.85546875" bestFit="1" customWidth="1"/>
    <col min="5" max="5" width="13.42578125" bestFit="1" customWidth="1"/>
    <col min="6" max="6" width="11.28515625" customWidth="1"/>
    <col min="7" max="7" width="12.5703125" customWidth="1"/>
    <col min="8" max="8" width="20.42578125" bestFit="1" customWidth="1"/>
  </cols>
  <sheetData>
    <row r="1" spans="1:7" ht="23.25" x14ac:dyDescent="0.25">
      <c r="A1" s="316" t="s">
        <v>256</v>
      </c>
      <c r="B1" s="316"/>
      <c r="C1" s="316"/>
      <c r="D1" s="316"/>
      <c r="E1" s="316"/>
      <c r="F1" s="316"/>
      <c r="G1" s="15"/>
    </row>
    <row r="2" spans="1:7" ht="15.75" x14ac:dyDescent="0.25">
      <c r="A2" s="308" t="s">
        <v>1</v>
      </c>
      <c r="B2" s="308"/>
      <c r="C2" s="308"/>
      <c r="D2" s="308"/>
      <c r="E2" s="308"/>
      <c r="F2" s="308"/>
      <c r="G2" s="16"/>
    </row>
    <row r="3" spans="1:7" ht="15.75" x14ac:dyDescent="0.25">
      <c r="A3" s="308" t="s">
        <v>2</v>
      </c>
      <c r="B3" s="308"/>
      <c r="C3" s="308"/>
      <c r="D3" s="308"/>
      <c r="E3" s="308"/>
      <c r="F3" s="308"/>
      <c r="G3" s="16"/>
    </row>
    <row r="4" spans="1:7" ht="15.75" x14ac:dyDescent="0.25">
      <c r="A4" s="5"/>
      <c r="B4" s="5"/>
      <c r="C4" s="5"/>
      <c r="D4" s="5"/>
      <c r="E4" s="23"/>
      <c r="F4" s="5"/>
      <c r="G4" s="5"/>
    </row>
    <row r="6" spans="1:7" ht="15.75" customHeight="1" x14ac:dyDescent="0.25">
      <c r="A6" s="310" t="s">
        <v>3</v>
      </c>
      <c r="B6" s="313" t="s">
        <v>106</v>
      </c>
      <c r="C6" s="310" t="s">
        <v>100</v>
      </c>
      <c r="D6" s="314" t="s">
        <v>107</v>
      </c>
      <c r="E6" s="314" t="s">
        <v>107</v>
      </c>
      <c r="F6" s="309" t="s">
        <v>8</v>
      </c>
    </row>
    <row r="7" spans="1:7" ht="15.75" customHeight="1" x14ac:dyDescent="0.25">
      <c r="A7" s="311"/>
      <c r="B7" s="313"/>
      <c r="C7" s="311"/>
      <c r="D7" s="315"/>
      <c r="E7" s="315"/>
      <c r="F7" s="309"/>
    </row>
    <row r="8" spans="1:7" ht="33.75" x14ac:dyDescent="0.25">
      <c r="A8" s="312"/>
      <c r="B8" s="313"/>
      <c r="C8" s="312"/>
      <c r="D8" s="6" t="s">
        <v>108</v>
      </c>
      <c r="E8" s="6" t="s">
        <v>267</v>
      </c>
      <c r="F8" s="309"/>
    </row>
    <row r="9" spans="1:7" ht="15" customHeight="1" x14ac:dyDescent="0.25">
      <c r="A9" s="9" t="s">
        <v>12</v>
      </c>
      <c r="B9" s="7" t="s">
        <v>113</v>
      </c>
      <c r="C9" s="18">
        <v>600</v>
      </c>
      <c r="D9" s="17">
        <v>2720</v>
      </c>
      <c r="E9" s="165">
        <f>D9*(0.0254*0.0254*0.0254)</f>
        <v>4.4572814079999995E-2</v>
      </c>
      <c r="F9" s="11"/>
    </row>
    <row r="10" spans="1:7" ht="15" customHeight="1" x14ac:dyDescent="0.25">
      <c r="A10" s="9" t="s">
        <v>14</v>
      </c>
      <c r="B10" s="7" t="s">
        <v>118</v>
      </c>
      <c r="C10" s="18">
        <v>2000</v>
      </c>
      <c r="D10" s="17">
        <v>8700</v>
      </c>
      <c r="E10" s="165">
        <f t="shared" ref="E10:E73" si="0">D10*(0.0254*0.0254*0.0254)</f>
        <v>0.14256745679999999</v>
      </c>
      <c r="F10" s="11"/>
    </row>
    <row r="11" spans="1:7" ht="15" customHeight="1" x14ac:dyDescent="0.25">
      <c r="A11" s="9" t="s">
        <v>16</v>
      </c>
      <c r="B11" s="12" t="s">
        <v>104</v>
      </c>
      <c r="C11" s="18">
        <v>1200</v>
      </c>
      <c r="D11" s="17">
        <v>7800</v>
      </c>
      <c r="E11" s="165">
        <f t="shared" si="0"/>
        <v>0.12781909919999998</v>
      </c>
      <c r="F11" s="11"/>
    </row>
    <row r="12" spans="1:7" ht="15" customHeight="1" x14ac:dyDescent="0.25">
      <c r="A12" s="9" t="s">
        <v>18</v>
      </c>
      <c r="B12" s="7" t="s">
        <v>177</v>
      </c>
      <c r="C12" s="18">
        <v>5000</v>
      </c>
      <c r="D12" s="17">
        <v>7272</v>
      </c>
      <c r="E12" s="165">
        <f t="shared" si="0"/>
        <v>0.11916672940799999</v>
      </c>
      <c r="F12" s="11"/>
    </row>
    <row r="13" spans="1:7" ht="15" customHeight="1" x14ac:dyDescent="0.25">
      <c r="A13" s="9" t="s">
        <v>20</v>
      </c>
      <c r="B13" s="7" t="s">
        <v>178</v>
      </c>
      <c r="C13" s="18">
        <v>1200</v>
      </c>
      <c r="D13" s="17">
        <v>8730</v>
      </c>
      <c r="E13" s="165">
        <f t="shared" si="0"/>
        <v>0.14305906871999999</v>
      </c>
      <c r="F13" s="11"/>
    </row>
    <row r="14" spans="1:7" ht="15" customHeight="1" x14ac:dyDescent="0.25">
      <c r="A14" s="9" t="s">
        <v>22</v>
      </c>
      <c r="B14" s="7" t="s">
        <v>134</v>
      </c>
      <c r="C14" s="18">
        <v>2000</v>
      </c>
      <c r="D14" s="17">
        <v>8700</v>
      </c>
      <c r="E14" s="165">
        <f t="shared" si="0"/>
        <v>0.14256745679999999</v>
      </c>
      <c r="F14" s="11"/>
    </row>
    <row r="15" spans="1:7" ht="15" customHeight="1" x14ac:dyDescent="0.25">
      <c r="A15" s="9" t="s">
        <v>24</v>
      </c>
      <c r="B15" s="7" t="s">
        <v>135</v>
      </c>
      <c r="C15" s="18">
        <v>3500</v>
      </c>
      <c r="D15" s="17">
        <v>8920</v>
      </c>
      <c r="E15" s="165">
        <f t="shared" si="0"/>
        <v>0.14617261088</v>
      </c>
      <c r="F15" s="11"/>
    </row>
    <row r="16" spans="1:7" ht="15" customHeight="1" x14ac:dyDescent="0.25">
      <c r="A16" s="9" t="s">
        <v>26</v>
      </c>
      <c r="B16" s="7" t="s">
        <v>136</v>
      </c>
      <c r="C16" s="18">
        <v>3500</v>
      </c>
      <c r="D16" s="17">
        <v>8900</v>
      </c>
      <c r="E16" s="165">
        <f t="shared" si="0"/>
        <v>0.14584486959999998</v>
      </c>
      <c r="F16" s="11"/>
    </row>
    <row r="17" spans="1:10" ht="15" customHeight="1" x14ac:dyDescent="0.25">
      <c r="A17" s="9" t="s">
        <v>28</v>
      </c>
      <c r="B17" s="12" t="s">
        <v>102</v>
      </c>
      <c r="C17" s="18">
        <v>200</v>
      </c>
      <c r="D17" s="17">
        <v>7800</v>
      </c>
      <c r="E17" s="165">
        <f t="shared" si="0"/>
        <v>0.12781909919999998</v>
      </c>
      <c r="F17" s="11"/>
    </row>
    <row r="18" spans="1:10" ht="15" customHeight="1" x14ac:dyDescent="0.25">
      <c r="A18" s="9" t="s">
        <v>30</v>
      </c>
      <c r="B18" s="7" t="s">
        <v>101</v>
      </c>
      <c r="C18" s="18">
        <v>250</v>
      </c>
      <c r="D18" s="17">
        <v>7800</v>
      </c>
      <c r="E18" s="165">
        <f t="shared" si="0"/>
        <v>0.12781909919999998</v>
      </c>
      <c r="F18" s="11"/>
    </row>
    <row r="19" spans="1:10" ht="15" customHeight="1" x14ac:dyDescent="0.25">
      <c r="A19" s="9" t="s">
        <v>32</v>
      </c>
      <c r="B19" s="7" t="s">
        <v>139</v>
      </c>
      <c r="C19" s="18">
        <v>2000</v>
      </c>
      <c r="D19" s="17">
        <v>7190</v>
      </c>
      <c r="E19" s="165">
        <f t="shared" si="0"/>
        <v>0.11782299015999999</v>
      </c>
      <c r="F19" s="11"/>
    </row>
    <row r="20" spans="1:10" ht="15" customHeight="1" x14ac:dyDescent="0.25">
      <c r="A20" s="9" t="s">
        <v>34</v>
      </c>
      <c r="B20" s="7" t="s">
        <v>140</v>
      </c>
      <c r="C20" s="18">
        <v>20000</v>
      </c>
      <c r="D20" s="17">
        <v>8746</v>
      </c>
      <c r="E20" s="165">
        <f t="shared" si="0"/>
        <v>0.14332126174400001</v>
      </c>
      <c r="F20" s="11"/>
    </row>
    <row r="21" spans="1:10" ht="15" customHeight="1" x14ac:dyDescent="0.25">
      <c r="A21" s="9" t="s">
        <v>35</v>
      </c>
      <c r="B21" s="7" t="s">
        <v>105</v>
      </c>
      <c r="C21" s="18">
        <v>1500</v>
      </c>
      <c r="D21" s="17">
        <v>8940</v>
      </c>
      <c r="E21" s="165">
        <f t="shared" si="0"/>
        <v>0.14650035215999999</v>
      </c>
      <c r="F21" s="11"/>
      <c r="G21" s="13"/>
      <c r="H21" s="10"/>
      <c r="I21" s="14"/>
      <c r="J21" s="4"/>
    </row>
    <row r="22" spans="1:10" ht="15" customHeight="1" x14ac:dyDescent="0.25">
      <c r="A22" s="9" t="s">
        <v>36</v>
      </c>
      <c r="B22" s="7" t="s">
        <v>187</v>
      </c>
      <c r="C22" s="18">
        <v>1200</v>
      </c>
      <c r="D22" s="17">
        <v>7850</v>
      </c>
      <c r="E22" s="165">
        <f t="shared" si="0"/>
        <v>0.12863845239999999</v>
      </c>
      <c r="F22" s="11"/>
      <c r="G22" s="13"/>
      <c r="H22" s="10"/>
      <c r="I22" s="14"/>
      <c r="J22" s="4"/>
    </row>
    <row r="23" spans="1:10" ht="15" customHeight="1" x14ac:dyDescent="0.25">
      <c r="A23" s="9" t="s">
        <v>38</v>
      </c>
      <c r="B23" s="7" t="s">
        <v>144</v>
      </c>
      <c r="C23" s="18">
        <v>2000</v>
      </c>
      <c r="D23" s="17">
        <v>8940</v>
      </c>
      <c r="E23" s="165">
        <f t="shared" si="0"/>
        <v>0.14650035215999999</v>
      </c>
      <c r="F23" s="11"/>
      <c r="G23" s="13"/>
      <c r="H23" s="10"/>
      <c r="I23" s="14"/>
      <c r="J23" s="4"/>
    </row>
    <row r="24" spans="1:10" ht="15" customHeight="1" x14ac:dyDescent="0.25">
      <c r="A24" s="9" t="s">
        <v>40</v>
      </c>
      <c r="B24" s="7" t="s">
        <v>185</v>
      </c>
      <c r="C24" s="18">
        <v>1200</v>
      </c>
      <c r="D24" s="17">
        <v>7850</v>
      </c>
      <c r="E24" s="165">
        <f t="shared" si="0"/>
        <v>0.12863845239999999</v>
      </c>
      <c r="F24" s="11"/>
      <c r="G24" s="13"/>
      <c r="H24" s="10"/>
      <c r="I24" s="14"/>
      <c r="J24" s="4"/>
    </row>
    <row r="25" spans="1:10" ht="15" customHeight="1" x14ac:dyDescent="0.25">
      <c r="A25" s="9" t="s">
        <v>42</v>
      </c>
      <c r="B25" s="7" t="s">
        <v>186</v>
      </c>
      <c r="C25" s="18">
        <v>1200</v>
      </c>
      <c r="D25" s="17">
        <v>7850</v>
      </c>
      <c r="E25" s="165">
        <f t="shared" si="0"/>
        <v>0.12863845239999999</v>
      </c>
      <c r="F25" s="11"/>
      <c r="G25" s="13"/>
      <c r="H25" s="10"/>
      <c r="I25" s="14"/>
      <c r="J25" s="4"/>
    </row>
    <row r="26" spans="1:10" ht="15" customHeight="1" x14ac:dyDescent="0.25">
      <c r="A26" s="9" t="s">
        <v>44</v>
      </c>
      <c r="B26" s="7" t="s">
        <v>146</v>
      </c>
      <c r="C26" s="18">
        <v>600</v>
      </c>
      <c r="D26" s="17">
        <v>8600</v>
      </c>
      <c r="E26" s="165">
        <f t="shared" si="0"/>
        <v>0.1409287504</v>
      </c>
      <c r="F26" s="11"/>
      <c r="G26" s="13"/>
      <c r="H26" s="10"/>
      <c r="I26" s="14"/>
      <c r="J26" s="4"/>
    </row>
    <row r="27" spans="1:10" ht="15" customHeight="1" x14ac:dyDescent="0.25">
      <c r="A27" s="9" t="s">
        <v>46</v>
      </c>
      <c r="B27" s="7" t="s">
        <v>148</v>
      </c>
      <c r="C27" s="18">
        <v>1000</v>
      </c>
      <c r="D27" s="17">
        <v>2790</v>
      </c>
      <c r="E27" s="165">
        <f t="shared" si="0"/>
        <v>4.5719908559999994E-2</v>
      </c>
      <c r="F27" s="11"/>
      <c r="G27" s="13"/>
      <c r="H27" s="10"/>
      <c r="I27" s="14"/>
      <c r="J27" s="4"/>
    </row>
    <row r="28" spans="1:10" ht="15" customHeight="1" x14ac:dyDescent="0.25">
      <c r="A28" s="9" t="s">
        <v>48</v>
      </c>
      <c r="B28" s="12" t="s">
        <v>191</v>
      </c>
      <c r="C28" s="18">
        <v>600</v>
      </c>
      <c r="D28" s="17">
        <v>7850</v>
      </c>
      <c r="E28" s="165">
        <f t="shared" si="0"/>
        <v>0.12863845239999999</v>
      </c>
      <c r="F28" s="11"/>
      <c r="G28" s="13"/>
      <c r="H28" s="10"/>
      <c r="I28" s="14"/>
      <c r="J28" s="4"/>
    </row>
    <row r="29" spans="1:10" ht="15" customHeight="1" x14ac:dyDescent="0.25">
      <c r="A29" s="9" t="s">
        <v>50</v>
      </c>
      <c r="B29" s="12" t="s">
        <v>192</v>
      </c>
      <c r="C29" s="18">
        <v>600</v>
      </c>
      <c r="D29" s="17">
        <v>7850</v>
      </c>
      <c r="E29" s="165">
        <f t="shared" si="0"/>
        <v>0.12863845239999999</v>
      </c>
      <c r="F29" s="11"/>
      <c r="G29" s="13"/>
      <c r="H29" s="10"/>
      <c r="I29" s="14"/>
      <c r="J29" s="4"/>
    </row>
    <row r="30" spans="1:10" ht="15" customHeight="1" x14ac:dyDescent="0.25">
      <c r="A30" s="9" t="s">
        <v>52</v>
      </c>
      <c r="B30" s="7" t="s">
        <v>153</v>
      </c>
      <c r="C30" s="18">
        <v>3500</v>
      </c>
      <c r="D30" s="17">
        <v>5323</v>
      </c>
      <c r="E30" s="165">
        <f t="shared" si="0"/>
        <v>8.7228341671999998E-2</v>
      </c>
      <c r="F30" s="11"/>
      <c r="G30" s="13"/>
      <c r="H30" s="10"/>
      <c r="I30" s="14"/>
      <c r="J30" s="4"/>
    </row>
    <row r="31" spans="1:10" ht="15" customHeight="1" x14ac:dyDescent="0.25">
      <c r="A31" s="9" t="s">
        <v>54</v>
      </c>
      <c r="B31" s="7" t="s">
        <v>155</v>
      </c>
      <c r="C31" s="18">
        <v>5000000</v>
      </c>
      <c r="D31" s="17">
        <v>19320</v>
      </c>
      <c r="E31" s="165">
        <f t="shared" si="0"/>
        <v>0.31659807647999999</v>
      </c>
      <c r="F31" s="11"/>
      <c r="G31" s="13"/>
      <c r="H31" s="10"/>
      <c r="I31" s="14"/>
      <c r="J31" s="4"/>
    </row>
    <row r="32" spans="1:10" ht="15" customHeight="1" x14ac:dyDescent="0.25">
      <c r="A32" s="9" t="s">
        <v>56</v>
      </c>
      <c r="B32" s="12" t="s">
        <v>103</v>
      </c>
      <c r="C32" s="18">
        <v>3200</v>
      </c>
      <c r="D32" s="17">
        <v>8920</v>
      </c>
      <c r="E32" s="165">
        <f t="shared" si="0"/>
        <v>0.14617261088</v>
      </c>
      <c r="F32" s="11"/>
      <c r="G32" s="13"/>
      <c r="H32" s="10"/>
      <c r="I32" s="14"/>
      <c r="J32" s="4"/>
    </row>
    <row r="33" spans="1:10" ht="15" customHeight="1" x14ac:dyDescent="0.25">
      <c r="A33" s="9" t="s">
        <v>58</v>
      </c>
      <c r="B33" s="12" t="s">
        <v>196</v>
      </c>
      <c r="C33" s="18">
        <v>1200</v>
      </c>
      <c r="D33" s="17">
        <v>7800</v>
      </c>
      <c r="E33" s="165">
        <f t="shared" si="0"/>
        <v>0.12781909919999998</v>
      </c>
      <c r="F33" s="11"/>
      <c r="G33" s="13"/>
      <c r="H33" s="10"/>
      <c r="I33" s="14"/>
      <c r="J33" s="4"/>
    </row>
    <row r="34" spans="1:10" x14ac:dyDescent="0.25">
      <c r="A34" s="9" t="s">
        <v>59</v>
      </c>
      <c r="B34" s="7" t="s">
        <v>179</v>
      </c>
      <c r="C34" s="18">
        <v>250</v>
      </c>
      <c r="D34" s="17">
        <v>7850</v>
      </c>
      <c r="E34" s="165">
        <f t="shared" si="0"/>
        <v>0.12863845239999999</v>
      </c>
      <c r="F34" s="11"/>
      <c r="G34" s="13"/>
      <c r="H34" s="10"/>
      <c r="I34" s="14"/>
      <c r="J34" s="4"/>
    </row>
    <row r="35" spans="1:10" x14ac:dyDescent="0.25">
      <c r="A35" s="9" t="s">
        <v>61</v>
      </c>
      <c r="B35" s="7" t="s">
        <v>116</v>
      </c>
      <c r="C35" s="18">
        <v>600</v>
      </c>
      <c r="D35" s="17">
        <v>11340</v>
      </c>
      <c r="E35" s="165">
        <f t="shared" si="0"/>
        <v>0.18582930575999998</v>
      </c>
      <c r="F35" s="11"/>
      <c r="G35" s="13"/>
      <c r="H35" s="10"/>
      <c r="I35" s="14"/>
      <c r="J35" s="4"/>
    </row>
    <row r="36" spans="1:10" x14ac:dyDescent="0.25">
      <c r="A36" s="9" t="s">
        <v>63</v>
      </c>
      <c r="B36" s="7" t="s">
        <v>121</v>
      </c>
      <c r="C36" s="18">
        <v>1200</v>
      </c>
      <c r="D36" s="17">
        <v>534</v>
      </c>
      <c r="E36" s="165">
        <f t="shared" si="0"/>
        <v>8.7506921760000002E-3</v>
      </c>
      <c r="F36" s="11"/>
      <c r="G36" s="13"/>
      <c r="H36" s="10"/>
      <c r="I36" s="14"/>
      <c r="J36" s="4"/>
    </row>
    <row r="37" spans="1:10" x14ac:dyDescent="0.25">
      <c r="A37" s="9" t="s">
        <v>65</v>
      </c>
      <c r="B37" s="7" t="s">
        <v>123</v>
      </c>
      <c r="C37" s="18">
        <v>600</v>
      </c>
      <c r="D37" s="17">
        <v>1738</v>
      </c>
      <c r="E37" s="165">
        <f t="shared" si="0"/>
        <v>2.8480717231999998E-2</v>
      </c>
      <c r="F37" s="11"/>
      <c r="G37" s="13"/>
      <c r="H37" s="10"/>
      <c r="I37" s="14"/>
      <c r="J37" s="4"/>
    </row>
    <row r="38" spans="1:10" x14ac:dyDescent="0.25">
      <c r="A38" s="9" t="s">
        <v>67</v>
      </c>
      <c r="B38" s="7" t="s">
        <v>125</v>
      </c>
      <c r="C38" s="18">
        <v>600</v>
      </c>
      <c r="D38" s="17">
        <v>7440</v>
      </c>
      <c r="E38" s="165">
        <f t="shared" si="0"/>
        <v>0.12191975615999999</v>
      </c>
      <c r="F38" s="11"/>
      <c r="G38" s="13"/>
      <c r="H38" s="10"/>
      <c r="I38" s="14"/>
      <c r="J38" s="4"/>
    </row>
    <row r="39" spans="1:10" x14ac:dyDescent="0.25">
      <c r="A39" s="9" t="s">
        <v>69</v>
      </c>
      <c r="B39" s="7" t="s">
        <v>127</v>
      </c>
      <c r="C39" s="18">
        <v>2000</v>
      </c>
      <c r="D39" s="17">
        <v>8359</v>
      </c>
      <c r="E39" s="165">
        <f t="shared" si="0"/>
        <v>0.136979467976</v>
      </c>
      <c r="F39" s="11"/>
      <c r="G39" s="13"/>
      <c r="H39" s="10"/>
      <c r="I39" s="14"/>
      <c r="J39" s="4"/>
    </row>
    <row r="40" spans="1:10" x14ac:dyDescent="0.25">
      <c r="A40" s="9" t="s">
        <v>70</v>
      </c>
      <c r="B40" s="7" t="s">
        <v>188</v>
      </c>
      <c r="C40" s="18">
        <v>250</v>
      </c>
      <c r="D40" s="17">
        <v>7800</v>
      </c>
      <c r="E40" s="165">
        <f t="shared" si="0"/>
        <v>0.12781909919999998</v>
      </c>
      <c r="F40" s="11"/>
      <c r="G40" s="13"/>
      <c r="H40" s="10"/>
      <c r="I40" s="14"/>
      <c r="J40" s="4"/>
    </row>
    <row r="41" spans="1:10" x14ac:dyDescent="0.25">
      <c r="A41" s="9" t="s">
        <v>71</v>
      </c>
      <c r="B41" s="7" t="s">
        <v>129</v>
      </c>
      <c r="C41" s="18">
        <v>15000</v>
      </c>
      <c r="D41" s="17">
        <v>13593</v>
      </c>
      <c r="E41" s="165">
        <f t="shared" si="0"/>
        <v>0.22274936095199999</v>
      </c>
      <c r="F41" s="11"/>
      <c r="G41" s="13"/>
      <c r="H41" s="10"/>
      <c r="I41" s="14"/>
      <c r="J41" s="4"/>
    </row>
    <row r="42" spans="1:10" x14ac:dyDescent="0.25">
      <c r="A42" s="9" t="s">
        <v>73</v>
      </c>
      <c r="B42" s="7" t="s">
        <v>130</v>
      </c>
      <c r="C42" s="18">
        <v>2500</v>
      </c>
      <c r="D42" s="17">
        <v>10188</v>
      </c>
      <c r="E42" s="165">
        <f t="shared" si="0"/>
        <v>0.16695140803199998</v>
      </c>
      <c r="F42" s="11"/>
      <c r="G42" s="13"/>
      <c r="H42" s="10"/>
      <c r="I42" s="14"/>
      <c r="J42" s="4"/>
    </row>
    <row r="43" spans="1:10" x14ac:dyDescent="0.25">
      <c r="A43" s="9" t="s">
        <v>75</v>
      </c>
      <c r="B43" s="7" t="s">
        <v>131</v>
      </c>
      <c r="C43" s="18">
        <v>8000</v>
      </c>
      <c r="D43" s="17">
        <v>8840</v>
      </c>
      <c r="E43" s="165">
        <f t="shared" si="0"/>
        <v>0.14486164575999999</v>
      </c>
      <c r="F43" s="11"/>
      <c r="G43" s="13"/>
      <c r="H43" s="10"/>
      <c r="I43" s="14"/>
      <c r="J43" s="4"/>
    </row>
    <row r="44" spans="1:10" x14ac:dyDescent="0.25">
      <c r="A44" s="9" t="s">
        <v>77</v>
      </c>
      <c r="B44" s="7" t="s">
        <v>132</v>
      </c>
      <c r="C44" s="18">
        <v>3000</v>
      </c>
      <c r="D44" s="17">
        <v>8400</v>
      </c>
      <c r="E44" s="165">
        <f t="shared" si="0"/>
        <v>0.13765133760000001</v>
      </c>
      <c r="F44" s="11"/>
      <c r="G44" s="13"/>
      <c r="H44" s="10"/>
      <c r="I44" s="14"/>
      <c r="J44" s="4"/>
    </row>
    <row r="45" spans="1:10" x14ac:dyDescent="0.25">
      <c r="A45" s="9" t="s">
        <v>78</v>
      </c>
      <c r="B45" s="7" t="s">
        <v>133</v>
      </c>
      <c r="C45" s="18">
        <v>2000</v>
      </c>
      <c r="D45" s="17">
        <v>8908</v>
      </c>
      <c r="E45" s="165">
        <f t="shared" si="0"/>
        <v>0.14597596611200001</v>
      </c>
      <c r="F45" s="11"/>
    </row>
    <row r="46" spans="1:10" x14ac:dyDescent="0.25">
      <c r="A46" s="9" t="s">
        <v>80</v>
      </c>
      <c r="B46" s="7" t="s">
        <v>137</v>
      </c>
      <c r="C46" s="18">
        <v>12000</v>
      </c>
      <c r="D46" s="17">
        <v>8900</v>
      </c>
      <c r="E46" s="165">
        <f t="shared" si="0"/>
        <v>0.14584486959999998</v>
      </c>
      <c r="F46" s="11"/>
    </row>
    <row r="47" spans="1:10" x14ac:dyDescent="0.25">
      <c r="A47" s="9" t="s">
        <v>82</v>
      </c>
      <c r="B47" s="12" t="s">
        <v>181</v>
      </c>
      <c r="C47" s="17">
        <v>250</v>
      </c>
      <c r="D47" s="17">
        <v>7800</v>
      </c>
      <c r="E47" s="165">
        <f t="shared" si="0"/>
        <v>0.12781909919999998</v>
      </c>
      <c r="F47" s="11"/>
    </row>
    <row r="48" spans="1:10" x14ac:dyDescent="0.25">
      <c r="A48" s="9" t="s">
        <v>84</v>
      </c>
      <c r="B48" s="7" t="s">
        <v>138</v>
      </c>
      <c r="C48" s="18">
        <v>3500</v>
      </c>
      <c r="D48" s="17">
        <v>8900</v>
      </c>
      <c r="E48" s="165">
        <f t="shared" si="0"/>
        <v>0.14584486959999998</v>
      </c>
      <c r="F48" s="11"/>
    </row>
    <row r="49" spans="1:6" x14ac:dyDescent="0.25">
      <c r="A49" s="9" t="s">
        <v>86</v>
      </c>
      <c r="B49" s="7" t="s">
        <v>189</v>
      </c>
      <c r="C49" s="18">
        <v>1200</v>
      </c>
      <c r="D49" s="17">
        <v>7850</v>
      </c>
      <c r="E49" s="165">
        <f t="shared" si="0"/>
        <v>0.12863845239999999</v>
      </c>
      <c r="F49" s="11"/>
    </row>
    <row r="50" spans="1:6" x14ac:dyDescent="0.25">
      <c r="A50" s="9" t="s">
        <v>88</v>
      </c>
      <c r="B50" s="7" t="s">
        <v>141</v>
      </c>
      <c r="C50" s="18">
        <v>1500</v>
      </c>
      <c r="D50" s="17">
        <v>8746</v>
      </c>
      <c r="E50" s="165">
        <f t="shared" si="0"/>
        <v>0.14332126174400001</v>
      </c>
      <c r="F50" s="11"/>
    </row>
    <row r="51" spans="1:6" x14ac:dyDescent="0.25">
      <c r="A51" s="9" t="s">
        <v>90</v>
      </c>
      <c r="B51" s="7" t="s">
        <v>142</v>
      </c>
      <c r="C51" s="18">
        <v>100000</v>
      </c>
      <c r="D51" s="17">
        <v>10490</v>
      </c>
      <c r="E51" s="165">
        <f t="shared" si="0"/>
        <v>0.17190030135999998</v>
      </c>
      <c r="F51" s="11"/>
    </row>
    <row r="52" spans="1:6" x14ac:dyDescent="0.25">
      <c r="A52" s="9" t="s">
        <v>91</v>
      </c>
      <c r="B52" s="12" t="s">
        <v>193</v>
      </c>
      <c r="C52" s="18">
        <v>1200</v>
      </c>
      <c r="D52" s="17">
        <v>7850</v>
      </c>
      <c r="E52" s="165">
        <f t="shared" si="0"/>
        <v>0.12863845239999999</v>
      </c>
      <c r="F52" s="11"/>
    </row>
    <row r="53" spans="1:6" x14ac:dyDescent="0.25">
      <c r="A53" s="9" t="s">
        <v>92</v>
      </c>
      <c r="B53" s="7" t="s">
        <v>143</v>
      </c>
      <c r="C53" s="18">
        <v>2200</v>
      </c>
      <c r="D53" s="17">
        <v>8885</v>
      </c>
      <c r="E53" s="165">
        <f t="shared" si="0"/>
        <v>0.14559906364</v>
      </c>
      <c r="F53" s="11"/>
    </row>
    <row r="54" spans="1:6" x14ac:dyDescent="0.25">
      <c r="A54" s="9" t="s">
        <v>94</v>
      </c>
      <c r="B54" s="7" t="s">
        <v>190</v>
      </c>
      <c r="C54" s="18">
        <v>1200</v>
      </c>
      <c r="D54" s="17">
        <v>8000</v>
      </c>
      <c r="E54" s="165">
        <f t="shared" si="0"/>
        <v>0.131096512</v>
      </c>
      <c r="F54" s="11"/>
    </row>
    <row r="55" spans="1:6" x14ac:dyDescent="0.25">
      <c r="A55" s="9" t="s">
        <v>96</v>
      </c>
      <c r="B55" s="12" t="s">
        <v>182</v>
      </c>
      <c r="C55" s="17">
        <v>250</v>
      </c>
      <c r="D55" s="17">
        <v>7800</v>
      </c>
      <c r="E55" s="165">
        <f t="shared" si="0"/>
        <v>0.12781909919999998</v>
      </c>
      <c r="F55" s="11"/>
    </row>
    <row r="56" spans="1:6" x14ac:dyDescent="0.25">
      <c r="A56" s="9" t="s">
        <v>98</v>
      </c>
      <c r="B56" s="7" t="s">
        <v>183</v>
      </c>
      <c r="C56" s="18">
        <v>600</v>
      </c>
      <c r="D56" s="17">
        <v>8000</v>
      </c>
      <c r="E56" s="165">
        <f t="shared" si="0"/>
        <v>0.131096512</v>
      </c>
      <c r="F56" s="11"/>
    </row>
    <row r="57" spans="1:6" x14ac:dyDescent="0.25">
      <c r="A57" s="9" t="s">
        <v>109</v>
      </c>
      <c r="B57" s="7" t="s">
        <v>184</v>
      </c>
      <c r="C57" s="18">
        <v>650</v>
      </c>
      <c r="D57" s="17">
        <v>8000</v>
      </c>
      <c r="E57" s="165">
        <f t="shared" si="0"/>
        <v>0.131096512</v>
      </c>
      <c r="F57" s="11"/>
    </row>
    <row r="58" spans="1:6" ht="30" x14ac:dyDescent="0.25">
      <c r="A58" s="9" t="s">
        <v>110</v>
      </c>
      <c r="B58" s="7" t="s">
        <v>195</v>
      </c>
      <c r="C58" s="18">
        <v>1200</v>
      </c>
      <c r="D58" s="17">
        <v>8000</v>
      </c>
      <c r="E58" s="165">
        <f t="shared" si="0"/>
        <v>0.131096512</v>
      </c>
      <c r="F58" s="11"/>
    </row>
    <row r="59" spans="1:6" x14ac:dyDescent="0.25">
      <c r="A59" s="9" t="s">
        <v>111</v>
      </c>
      <c r="B59" s="7" t="s">
        <v>259</v>
      </c>
      <c r="C59" s="18">
        <v>1200</v>
      </c>
      <c r="D59" s="17">
        <v>8000</v>
      </c>
      <c r="E59" s="165">
        <f t="shared" si="0"/>
        <v>0.131096512</v>
      </c>
      <c r="F59" s="11"/>
    </row>
    <row r="60" spans="1:6" x14ac:dyDescent="0.25">
      <c r="A60" s="9" t="s">
        <v>112</v>
      </c>
      <c r="B60" s="7" t="s">
        <v>180</v>
      </c>
      <c r="C60" s="18">
        <v>650</v>
      </c>
      <c r="D60" s="17">
        <v>8000</v>
      </c>
      <c r="E60" s="165">
        <f t="shared" si="0"/>
        <v>0.131096512</v>
      </c>
      <c r="F60" s="11"/>
    </row>
    <row r="61" spans="1:6" x14ac:dyDescent="0.25">
      <c r="A61" s="9" t="s">
        <v>114</v>
      </c>
      <c r="B61" s="7" t="s">
        <v>145</v>
      </c>
      <c r="C61" s="18">
        <v>250</v>
      </c>
      <c r="D61" s="17">
        <v>7850</v>
      </c>
      <c r="E61" s="165">
        <f t="shared" si="0"/>
        <v>0.12863845239999999</v>
      </c>
      <c r="F61" s="11"/>
    </row>
    <row r="62" spans="1:6" x14ac:dyDescent="0.25">
      <c r="A62" s="9" t="s">
        <v>115</v>
      </c>
      <c r="B62" s="7" t="s">
        <v>147</v>
      </c>
      <c r="C62" s="18">
        <v>4000</v>
      </c>
      <c r="D62" s="17">
        <v>7280</v>
      </c>
      <c r="E62" s="165">
        <f t="shared" si="0"/>
        <v>0.11929782591999999</v>
      </c>
      <c r="F62" s="11"/>
    </row>
    <row r="63" spans="1:6" x14ac:dyDescent="0.25">
      <c r="A63" s="9" t="s">
        <v>117</v>
      </c>
      <c r="B63" s="7" t="s">
        <v>149</v>
      </c>
      <c r="C63" s="18">
        <v>2800</v>
      </c>
      <c r="D63" s="17">
        <v>4500</v>
      </c>
      <c r="E63" s="165">
        <f t="shared" si="0"/>
        <v>7.3741788000000003E-2</v>
      </c>
      <c r="F63" s="11"/>
    </row>
    <row r="64" spans="1:6" x14ac:dyDescent="0.25">
      <c r="A64" s="9" t="s">
        <v>119</v>
      </c>
      <c r="B64" s="7" t="s">
        <v>150</v>
      </c>
      <c r="C64" s="18">
        <v>10000</v>
      </c>
      <c r="D64" s="17">
        <v>19600</v>
      </c>
      <c r="E64" s="165">
        <f t="shared" si="0"/>
        <v>0.32118645439999999</v>
      </c>
      <c r="F64" s="11"/>
    </row>
    <row r="65" spans="1:6" x14ac:dyDescent="0.25">
      <c r="A65" s="9" t="s">
        <v>120</v>
      </c>
      <c r="B65" s="7" t="s">
        <v>151</v>
      </c>
      <c r="C65" s="18">
        <v>5000</v>
      </c>
      <c r="D65" s="17">
        <v>5494</v>
      </c>
      <c r="E65" s="165">
        <f t="shared" si="0"/>
        <v>9.0030529615999999E-2</v>
      </c>
      <c r="F65" s="11"/>
    </row>
    <row r="66" spans="1:6" x14ac:dyDescent="0.25">
      <c r="A66" s="9" t="s">
        <v>122</v>
      </c>
      <c r="B66" s="7" t="s">
        <v>152</v>
      </c>
      <c r="C66" s="18">
        <v>4500</v>
      </c>
      <c r="D66" s="17">
        <v>7100</v>
      </c>
      <c r="E66" s="165">
        <f t="shared" si="0"/>
        <v>0.1163481544</v>
      </c>
      <c r="F66" s="11"/>
    </row>
    <row r="67" spans="1:6" x14ac:dyDescent="0.25">
      <c r="A67" s="9" t="s">
        <v>124</v>
      </c>
      <c r="B67" s="7" t="s">
        <v>154</v>
      </c>
      <c r="C67" s="18">
        <v>650</v>
      </c>
      <c r="D67" s="17">
        <v>7750</v>
      </c>
      <c r="E67" s="165">
        <f t="shared" si="0"/>
        <v>0.126999746</v>
      </c>
      <c r="F67" s="11"/>
    </row>
    <row r="68" spans="1:6" x14ac:dyDescent="0.25">
      <c r="A68" s="9" t="s">
        <v>126</v>
      </c>
      <c r="B68" s="7" t="s">
        <v>265</v>
      </c>
      <c r="C68" s="18">
        <v>500</v>
      </c>
      <c r="D68" s="17">
        <v>5323</v>
      </c>
      <c r="E68" s="165">
        <f t="shared" si="0"/>
        <v>8.7228341671999998E-2</v>
      </c>
      <c r="F68" s="11"/>
    </row>
    <row r="69" spans="1:6" x14ac:dyDescent="0.25">
      <c r="A69" s="9" t="s">
        <v>128</v>
      </c>
      <c r="B69" s="7" t="s">
        <v>156</v>
      </c>
      <c r="C69" s="18">
        <v>600</v>
      </c>
      <c r="D69" s="17">
        <v>7135</v>
      </c>
      <c r="E69" s="165">
        <f t="shared" si="0"/>
        <v>0.11692170164</v>
      </c>
      <c r="F69" s="11"/>
    </row>
    <row r="70" spans="1:6" x14ac:dyDescent="0.25">
      <c r="A70" s="9" t="s">
        <v>247</v>
      </c>
      <c r="B70" s="7" t="s">
        <v>157</v>
      </c>
      <c r="C70" s="18">
        <v>2000</v>
      </c>
      <c r="D70" s="17">
        <v>8470</v>
      </c>
      <c r="E70" s="165">
        <f t="shared" si="0"/>
        <v>0.13879843208000001</v>
      </c>
      <c r="F70" s="11"/>
    </row>
    <row r="71" spans="1:6" x14ac:dyDescent="0.25">
      <c r="E71" s="165"/>
    </row>
    <row r="72" spans="1:6" x14ac:dyDescent="0.25">
      <c r="A72" s="9" t="s">
        <v>248</v>
      </c>
      <c r="B72" s="38" t="s">
        <v>79</v>
      </c>
      <c r="C72" s="22">
        <v>40</v>
      </c>
      <c r="D72" s="17">
        <v>7190</v>
      </c>
      <c r="E72" s="165">
        <f t="shared" si="0"/>
        <v>0.11782299015999999</v>
      </c>
      <c r="F72" s="11"/>
    </row>
    <row r="73" spans="1:6" x14ac:dyDescent="0.25">
      <c r="A73" s="9" t="s">
        <v>249</v>
      </c>
      <c r="B73" s="38" t="s">
        <v>81</v>
      </c>
      <c r="C73" s="22">
        <v>60</v>
      </c>
      <c r="D73" s="17">
        <v>7190</v>
      </c>
      <c r="E73" s="165">
        <f t="shared" si="0"/>
        <v>0.11782299015999999</v>
      </c>
      <c r="F73" s="11"/>
    </row>
    <row r="74" spans="1:6" x14ac:dyDescent="0.25">
      <c r="A74" s="9" t="s">
        <v>250</v>
      </c>
      <c r="B74" s="38" t="s">
        <v>170</v>
      </c>
      <c r="C74" s="22">
        <v>60</v>
      </c>
      <c r="D74" s="17">
        <v>8908</v>
      </c>
      <c r="E74" s="165">
        <f t="shared" ref="E74:E79" si="1">D74*(0.0254*0.0254*0.0254)</f>
        <v>0.14597596611200001</v>
      </c>
      <c r="F74" s="11"/>
    </row>
    <row r="75" spans="1:6" x14ac:dyDescent="0.25">
      <c r="A75" s="9" t="s">
        <v>251</v>
      </c>
      <c r="B75" s="38" t="s">
        <v>171</v>
      </c>
      <c r="C75" s="22">
        <v>120</v>
      </c>
      <c r="D75" s="17">
        <v>10490</v>
      </c>
      <c r="E75" s="165">
        <f t="shared" si="1"/>
        <v>0.17190030135999998</v>
      </c>
      <c r="F75" s="11"/>
    </row>
    <row r="76" spans="1:6" x14ac:dyDescent="0.25">
      <c r="A76" s="9" t="s">
        <v>252</v>
      </c>
      <c r="B76" s="38" t="s">
        <v>83</v>
      </c>
      <c r="C76" s="22">
        <v>60</v>
      </c>
      <c r="D76" s="17">
        <v>7135</v>
      </c>
      <c r="E76" s="165">
        <f t="shared" si="1"/>
        <v>0.11692170164</v>
      </c>
      <c r="F76" s="11"/>
    </row>
    <row r="77" spans="1:6" x14ac:dyDescent="0.25">
      <c r="A77" s="9" t="s">
        <v>253</v>
      </c>
      <c r="B77" s="38" t="s">
        <v>85</v>
      </c>
      <c r="C77" s="22">
        <v>60</v>
      </c>
      <c r="D77" s="17">
        <v>7135</v>
      </c>
      <c r="E77" s="165">
        <f t="shared" si="1"/>
        <v>0.11692170164</v>
      </c>
      <c r="F77" s="11"/>
    </row>
    <row r="78" spans="1:6" x14ac:dyDescent="0.25">
      <c r="A78" s="9" t="s">
        <v>254</v>
      </c>
      <c r="B78" s="38" t="s">
        <v>87</v>
      </c>
      <c r="C78" s="22">
        <v>28</v>
      </c>
      <c r="D78" s="17">
        <v>7800</v>
      </c>
      <c r="E78" s="165">
        <f t="shared" si="1"/>
        <v>0.12781909919999998</v>
      </c>
      <c r="F78" s="11"/>
    </row>
    <row r="79" spans="1:6" x14ac:dyDescent="0.25">
      <c r="A79" s="9" t="s">
        <v>264</v>
      </c>
      <c r="B79" s="38" t="s">
        <v>172</v>
      </c>
      <c r="C79" s="22">
        <v>28</v>
      </c>
      <c r="D79" s="17">
        <v>7800</v>
      </c>
      <c r="E79" s="165">
        <f t="shared" si="1"/>
        <v>0.12781909919999998</v>
      </c>
      <c r="F79" s="11"/>
    </row>
  </sheetData>
  <mergeCells count="9">
    <mergeCell ref="A1:F1"/>
    <mergeCell ref="A2:F2"/>
    <mergeCell ref="A3:F3"/>
    <mergeCell ref="A6:A8"/>
    <mergeCell ref="B6:B8"/>
    <mergeCell ref="D6:D7"/>
    <mergeCell ref="F6:F8"/>
    <mergeCell ref="C6:C8"/>
    <mergeCell ref="E6:E7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1"/>
  <sheetViews>
    <sheetView tabSelected="1" zoomScale="110" zoomScaleNormal="110" workbookViewId="0">
      <selection activeCell="C52" sqref="C52"/>
    </sheetView>
  </sheetViews>
  <sheetFormatPr defaultRowHeight="15" x14ac:dyDescent="0.25"/>
  <cols>
    <col min="1" max="1" width="4.7109375" bestFit="1" customWidth="1"/>
    <col min="2" max="2" width="26.85546875" bestFit="1" customWidth="1"/>
    <col min="3" max="3" width="17.42578125" bestFit="1" customWidth="1"/>
    <col min="4" max="4" width="18.7109375" customWidth="1"/>
    <col min="5" max="5" width="19.5703125" bestFit="1" customWidth="1"/>
  </cols>
  <sheetData>
    <row r="1" spans="1:8" ht="23.25" x14ac:dyDescent="0.25">
      <c r="A1" s="316" t="s">
        <v>0</v>
      </c>
      <c r="B1" s="316"/>
      <c r="C1" s="316"/>
      <c r="D1" s="316"/>
      <c r="E1" s="316"/>
      <c r="F1" s="316"/>
    </row>
    <row r="2" spans="1:8" ht="18.75" customHeight="1" x14ac:dyDescent="0.25">
      <c r="A2" s="308" t="s">
        <v>1</v>
      </c>
      <c r="B2" s="308"/>
      <c r="C2" s="308"/>
      <c r="D2" s="308"/>
      <c r="E2" s="308"/>
      <c r="F2" s="308"/>
    </row>
    <row r="3" spans="1:8" ht="18.75" customHeight="1" x14ac:dyDescent="0.25">
      <c r="A3" s="308" t="s">
        <v>2</v>
      </c>
      <c r="B3" s="308"/>
      <c r="C3" s="308"/>
      <c r="D3" s="308"/>
      <c r="E3" s="308"/>
      <c r="F3" s="308"/>
    </row>
    <row r="5" spans="1:8" ht="15.75" thickBot="1" x14ac:dyDescent="0.3"/>
    <row r="6" spans="1:8" ht="15.75" x14ac:dyDescent="0.25">
      <c r="A6" s="317" t="s">
        <v>3</v>
      </c>
      <c r="B6" s="319" t="s">
        <v>4</v>
      </c>
      <c r="C6" s="1" t="s">
        <v>5</v>
      </c>
      <c r="D6" s="1" t="s">
        <v>6</v>
      </c>
      <c r="E6" s="1" t="s">
        <v>7</v>
      </c>
      <c r="F6" s="320" t="s">
        <v>8</v>
      </c>
    </row>
    <row r="7" spans="1:8" ht="63" x14ac:dyDescent="0.25">
      <c r="A7" s="318"/>
      <c r="B7" s="311"/>
      <c r="C7" s="2" t="s">
        <v>9</v>
      </c>
      <c r="D7" s="2" t="s">
        <v>10</v>
      </c>
      <c r="E7" s="67" t="s">
        <v>11</v>
      </c>
      <c r="F7" s="321"/>
    </row>
    <row r="8" spans="1:8" x14ac:dyDescent="0.25">
      <c r="A8" s="159" t="s">
        <v>12</v>
      </c>
      <c r="B8" s="160" t="s">
        <v>13</v>
      </c>
      <c r="C8" s="161">
        <v>200</v>
      </c>
      <c r="D8" s="161">
        <v>250</v>
      </c>
      <c r="E8" s="161">
        <v>300</v>
      </c>
      <c r="F8" s="3"/>
    </row>
    <row r="9" spans="1:8" x14ac:dyDescent="0.25">
      <c r="A9" s="159" t="s">
        <v>14</v>
      </c>
      <c r="B9" s="159" t="s">
        <v>15</v>
      </c>
      <c r="C9" s="161">
        <v>150</v>
      </c>
      <c r="D9" s="161">
        <v>180</v>
      </c>
      <c r="E9" s="161">
        <v>220</v>
      </c>
      <c r="F9" s="3"/>
    </row>
    <row r="10" spans="1:8" x14ac:dyDescent="0.25">
      <c r="A10" s="159" t="s">
        <v>16</v>
      </c>
      <c r="B10" s="160" t="s">
        <v>17</v>
      </c>
      <c r="C10" s="161">
        <v>250</v>
      </c>
      <c r="D10" s="161">
        <v>300</v>
      </c>
      <c r="E10" s="161">
        <v>420</v>
      </c>
      <c r="F10" s="3"/>
    </row>
    <row r="11" spans="1:8" x14ac:dyDescent="0.25">
      <c r="A11" s="159" t="s">
        <v>18</v>
      </c>
      <c r="B11" s="159" t="s">
        <v>19</v>
      </c>
      <c r="C11" s="161">
        <v>200</v>
      </c>
      <c r="D11" s="161">
        <v>250</v>
      </c>
      <c r="E11" s="161">
        <v>300</v>
      </c>
      <c r="F11" s="3"/>
      <c r="H11" s="4"/>
    </row>
    <row r="12" spans="1:8" x14ac:dyDescent="0.25">
      <c r="A12" s="159" t="s">
        <v>20</v>
      </c>
      <c r="B12" s="159" t="s">
        <v>21</v>
      </c>
      <c r="C12" s="161">
        <v>300</v>
      </c>
      <c r="D12" s="161">
        <v>380</v>
      </c>
      <c r="E12" s="161">
        <v>450</v>
      </c>
      <c r="F12" s="3"/>
      <c r="H12" s="4"/>
    </row>
    <row r="13" spans="1:8" x14ac:dyDescent="0.25">
      <c r="A13" s="159" t="s">
        <v>22</v>
      </c>
      <c r="B13" s="159" t="s">
        <v>283</v>
      </c>
      <c r="C13" s="161">
        <v>300</v>
      </c>
      <c r="D13" s="161">
        <v>380</v>
      </c>
      <c r="E13" s="161">
        <v>450</v>
      </c>
      <c r="F13" s="3"/>
      <c r="H13" s="4"/>
    </row>
    <row r="14" spans="1:8" x14ac:dyDescent="0.25">
      <c r="A14" s="159" t="s">
        <v>24</v>
      </c>
      <c r="B14" s="159" t="s">
        <v>23</v>
      </c>
      <c r="C14" s="161">
        <v>600</v>
      </c>
      <c r="D14" s="161">
        <v>750</v>
      </c>
      <c r="E14" s="161">
        <v>900</v>
      </c>
      <c r="F14" s="3"/>
      <c r="H14" s="4"/>
    </row>
    <row r="15" spans="1:8" x14ac:dyDescent="0.25">
      <c r="A15" s="159" t="s">
        <v>26</v>
      </c>
      <c r="B15" s="159" t="s">
        <v>25</v>
      </c>
      <c r="C15" s="161">
        <v>500</v>
      </c>
      <c r="D15" s="161">
        <v>630</v>
      </c>
      <c r="E15" s="161">
        <v>750</v>
      </c>
      <c r="F15" s="3"/>
      <c r="H15" s="4"/>
    </row>
    <row r="16" spans="1:8" x14ac:dyDescent="0.25">
      <c r="A16" s="159" t="s">
        <v>28</v>
      </c>
      <c r="B16" s="159" t="s">
        <v>27</v>
      </c>
      <c r="C16" s="161">
        <v>600</v>
      </c>
      <c r="D16" s="161">
        <v>750</v>
      </c>
      <c r="E16" s="161">
        <v>900</v>
      </c>
      <c r="F16" s="3"/>
    </row>
    <row r="17" spans="1:6" x14ac:dyDescent="0.25">
      <c r="A17" s="159" t="s">
        <v>30</v>
      </c>
      <c r="B17" s="159" t="s">
        <v>29</v>
      </c>
      <c r="C17" s="161">
        <v>100</v>
      </c>
      <c r="D17" s="161">
        <v>120</v>
      </c>
      <c r="E17" s="161">
        <v>150</v>
      </c>
      <c r="F17" s="3"/>
    </row>
    <row r="18" spans="1:6" x14ac:dyDescent="0.25">
      <c r="A18" s="159" t="s">
        <v>32</v>
      </c>
      <c r="B18" s="159" t="s">
        <v>31</v>
      </c>
      <c r="C18" s="161">
        <v>200</v>
      </c>
      <c r="D18" s="161">
        <v>250</v>
      </c>
      <c r="E18" s="161">
        <v>300</v>
      </c>
      <c r="F18" s="3"/>
    </row>
    <row r="19" spans="1:6" x14ac:dyDescent="0.25">
      <c r="A19" s="159" t="s">
        <v>34</v>
      </c>
      <c r="B19" s="159" t="s">
        <v>33</v>
      </c>
      <c r="C19" s="161">
        <v>150</v>
      </c>
      <c r="D19" s="161">
        <v>180</v>
      </c>
      <c r="E19" s="161">
        <v>220</v>
      </c>
      <c r="F19" s="3"/>
    </row>
    <row r="20" spans="1:6" x14ac:dyDescent="0.25">
      <c r="A20" s="159" t="s">
        <v>35</v>
      </c>
      <c r="B20" s="159" t="s">
        <v>158</v>
      </c>
      <c r="C20" s="161">
        <v>350</v>
      </c>
      <c r="D20" s="161">
        <v>440</v>
      </c>
      <c r="E20" s="161">
        <v>520</v>
      </c>
      <c r="F20" s="3"/>
    </row>
    <row r="21" spans="1:6" x14ac:dyDescent="0.25">
      <c r="A21" s="159" t="s">
        <v>36</v>
      </c>
      <c r="B21" s="159" t="s">
        <v>159</v>
      </c>
      <c r="C21" s="161">
        <v>450</v>
      </c>
      <c r="D21" s="161">
        <v>600</v>
      </c>
      <c r="E21" s="161">
        <v>700</v>
      </c>
      <c r="F21" s="3"/>
    </row>
    <row r="22" spans="1:6" x14ac:dyDescent="0.25">
      <c r="A22" s="159" t="s">
        <v>38</v>
      </c>
      <c r="B22" s="159" t="s">
        <v>160</v>
      </c>
      <c r="C22" s="161">
        <v>400</v>
      </c>
      <c r="D22" s="161">
        <v>500</v>
      </c>
      <c r="E22" s="161">
        <v>600</v>
      </c>
      <c r="F22" s="3"/>
    </row>
    <row r="23" spans="1:6" x14ac:dyDescent="0.25">
      <c r="A23" s="159" t="s">
        <v>40</v>
      </c>
      <c r="B23" s="159" t="s">
        <v>161</v>
      </c>
      <c r="C23" s="161">
        <v>500</v>
      </c>
      <c r="D23" s="161">
        <v>630</v>
      </c>
      <c r="E23" s="161">
        <v>750</v>
      </c>
      <c r="F23" s="3"/>
    </row>
    <row r="24" spans="1:6" x14ac:dyDescent="0.25">
      <c r="A24" s="159" t="s">
        <v>42</v>
      </c>
      <c r="B24" s="159" t="s">
        <v>37</v>
      </c>
      <c r="C24" s="161">
        <v>400</v>
      </c>
      <c r="D24" s="161">
        <v>500</v>
      </c>
      <c r="E24" s="161">
        <v>600</v>
      </c>
      <c r="F24" s="3"/>
    </row>
    <row r="25" spans="1:6" x14ac:dyDescent="0.25">
      <c r="A25" s="159" t="s">
        <v>44</v>
      </c>
      <c r="B25" s="159" t="s">
        <v>39</v>
      </c>
      <c r="C25" s="161">
        <v>400</v>
      </c>
      <c r="D25" s="161">
        <v>500</v>
      </c>
      <c r="E25" s="161">
        <v>600</v>
      </c>
      <c r="F25" s="3"/>
    </row>
    <row r="26" spans="1:6" x14ac:dyDescent="0.25">
      <c r="A26" s="159" t="s">
        <v>46</v>
      </c>
      <c r="B26" s="159" t="s">
        <v>41</v>
      </c>
      <c r="C26" s="161">
        <v>550</v>
      </c>
      <c r="D26" s="161">
        <v>720</v>
      </c>
      <c r="E26" s="161">
        <v>820</v>
      </c>
      <c r="F26" s="3"/>
    </row>
    <row r="27" spans="1:6" x14ac:dyDescent="0.25">
      <c r="A27" s="159" t="s">
        <v>48</v>
      </c>
      <c r="B27" s="159" t="s">
        <v>43</v>
      </c>
      <c r="C27" s="161">
        <v>250</v>
      </c>
      <c r="D27" s="161">
        <v>300</v>
      </c>
      <c r="E27" s="161">
        <v>350</v>
      </c>
      <c r="F27" s="3"/>
    </row>
    <row r="28" spans="1:6" x14ac:dyDescent="0.25">
      <c r="A28" s="159" t="s">
        <v>50</v>
      </c>
      <c r="B28" s="159" t="s">
        <v>45</v>
      </c>
      <c r="C28" s="161">
        <v>600</v>
      </c>
      <c r="D28" s="161">
        <v>750</v>
      </c>
      <c r="E28" s="161">
        <v>900</v>
      </c>
      <c r="F28" s="3"/>
    </row>
    <row r="29" spans="1:6" x14ac:dyDescent="0.25">
      <c r="A29" s="159" t="s">
        <v>52</v>
      </c>
      <c r="B29" s="159" t="s">
        <v>47</v>
      </c>
      <c r="C29" s="161">
        <v>300</v>
      </c>
      <c r="D29" s="161">
        <v>380</v>
      </c>
      <c r="E29" s="161">
        <v>450</v>
      </c>
      <c r="F29" s="3"/>
    </row>
    <row r="30" spans="1:6" x14ac:dyDescent="0.25">
      <c r="A30" s="159" t="s">
        <v>54</v>
      </c>
      <c r="B30" s="159" t="s">
        <v>49</v>
      </c>
      <c r="C30" s="161">
        <v>500</v>
      </c>
      <c r="D30" s="161">
        <v>630</v>
      </c>
      <c r="E30" s="161">
        <v>750</v>
      </c>
      <c r="F30" s="3"/>
    </row>
    <row r="31" spans="1:6" x14ac:dyDescent="0.25">
      <c r="A31" s="159" t="s">
        <v>56</v>
      </c>
      <c r="B31" s="159" t="s">
        <v>51</v>
      </c>
      <c r="C31" s="161">
        <v>500</v>
      </c>
      <c r="D31" s="161">
        <v>630</v>
      </c>
      <c r="E31" s="161">
        <v>775</v>
      </c>
      <c r="F31" s="3"/>
    </row>
    <row r="32" spans="1:6" x14ac:dyDescent="0.25">
      <c r="A32" s="159" t="s">
        <v>58</v>
      </c>
      <c r="B32" s="159" t="s">
        <v>53</v>
      </c>
      <c r="C32" s="161">
        <v>300</v>
      </c>
      <c r="D32" s="161">
        <v>750</v>
      </c>
      <c r="E32" s="161">
        <v>900</v>
      </c>
      <c r="F32" s="3"/>
    </row>
    <row r="33" spans="1:6" x14ac:dyDescent="0.25">
      <c r="A33" s="159" t="s">
        <v>59</v>
      </c>
      <c r="B33" s="159" t="s">
        <v>55</v>
      </c>
      <c r="C33" s="161">
        <v>600</v>
      </c>
      <c r="D33" s="161">
        <v>750</v>
      </c>
      <c r="E33" s="161">
        <v>900</v>
      </c>
      <c r="F33" s="3"/>
    </row>
    <row r="34" spans="1:6" x14ac:dyDescent="0.25">
      <c r="A34" s="159" t="s">
        <v>61</v>
      </c>
      <c r="B34" s="159" t="s">
        <v>57</v>
      </c>
      <c r="C34" s="161">
        <v>500</v>
      </c>
      <c r="D34" s="161">
        <v>630</v>
      </c>
      <c r="E34" s="161">
        <v>750</v>
      </c>
      <c r="F34" s="3"/>
    </row>
    <row r="35" spans="1:6" x14ac:dyDescent="0.25">
      <c r="A35" s="159" t="s">
        <v>63</v>
      </c>
      <c r="B35" s="159" t="s">
        <v>162</v>
      </c>
      <c r="C35" s="161">
        <v>300</v>
      </c>
      <c r="D35" s="161">
        <v>380</v>
      </c>
      <c r="E35" s="161">
        <v>450</v>
      </c>
      <c r="F35" s="3"/>
    </row>
    <row r="36" spans="1:6" x14ac:dyDescent="0.25">
      <c r="A36" s="159" t="s">
        <v>65</v>
      </c>
      <c r="B36" s="159" t="s">
        <v>60</v>
      </c>
      <c r="C36" s="161">
        <v>600</v>
      </c>
      <c r="D36" s="161">
        <v>750</v>
      </c>
      <c r="E36" s="161">
        <v>900</v>
      </c>
      <c r="F36" s="3"/>
    </row>
    <row r="37" spans="1:6" x14ac:dyDescent="0.25">
      <c r="A37" s="159" t="s">
        <v>67</v>
      </c>
      <c r="B37" s="159" t="s">
        <v>62</v>
      </c>
      <c r="C37" s="161">
        <v>400</v>
      </c>
      <c r="D37" s="161">
        <v>500</v>
      </c>
      <c r="E37" s="161">
        <v>600</v>
      </c>
      <c r="F37" s="3"/>
    </row>
    <row r="38" spans="1:6" x14ac:dyDescent="0.25">
      <c r="A38" s="159" t="s">
        <v>69</v>
      </c>
      <c r="B38" s="159" t="s">
        <v>64</v>
      </c>
      <c r="C38" s="161">
        <v>250</v>
      </c>
      <c r="D38" s="161">
        <v>630</v>
      </c>
      <c r="E38" s="161">
        <v>750</v>
      </c>
      <c r="F38" s="3"/>
    </row>
    <row r="39" spans="1:6" x14ac:dyDescent="0.25">
      <c r="A39" s="159" t="s">
        <v>70</v>
      </c>
      <c r="B39" s="159" t="s">
        <v>66</v>
      </c>
      <c r="C39" s="161">
        <v>400</v>
      </c>
      <c r="D39" s="161">
        <v>500</v>
      </c>
      <c r="E39" s="161">
        <v>600</v>
      </c>
      <c r="F39" s="3"/>
    </row>
    <row r="40" spans="1:6" x14ac:dyDescent="0.25">
      <c r="A40" s="159" t="s">
        <v>71</v>
      </c>
      <c r="B40" s="159" t="s">
        <v>68</v>
      </c>
      <c r="C40" s="162">
        <v>80</v>
      </c>
      <c r="D40" s="162">
        <v>100</v>
      </c>
      <c r="E40" s="162">
        <v>120</v>
      </c>
      <c r="F40" s="8" t="s">
        <v>165</v>
      </c>
    </row>
    <row r="41" spans="1:6" x14ac:dyDescent="0.25">
      <c r="A41" s="159" t="s">
        <v>73</v>
      </c>
      <c r="B41" s="159" t="s">
        <v>163</v>
      </c>
      <c r="C41" s="162">
        <v>200</v>
      </c>
      <c r="D41" s="162">
        <v>250</v>
      </c>
      <c r="E41" s="162">
        <v>300</v>
      </c>
      <c r="F41" s="8" t="s">
        <v>165</v>
      </c>
    </row>
    <row r="42" spans="1:6" x14ac:dyDescent="0.25">
      <c r="A42" s="159" t="s">
        <v>75</v>
      </c>
      <c r="B42" s="159" t="s">
        <v>164</v>
      </c>
      <c r="C42" s="162">
        <v>300</v>
      </c>
      <c r="D42" s="162">
        <v>400</v>
      </c>
      <c r="E42" s="162">
        <v>500</v>
      </c>
      <c r="F42" s="8" t="s">
        <v>165</v>
      </c>
    </row>
    <row r="43" spans="1:6" x14ac:dyDescent="0.25">
      <c r="A43" s="159" t="s">
        <v>77</v>
      </c>
      <c r="B43" s="159" t="s">
        <v>166</v>
      </c>
      <c r="C43" s="162">
        <v>150</v>
      </c>
      <c r="D43" s="162">
        <v>200</v>
      </c>
      <c r="E43" s="162">
        <v>250</v>
      </c>
      <c r="F43" s="8" t="s">
        <v>165</v>
      </c>
    </row>
    <row r="44" spans="1:6" x14ac:dyDescent="0.25">
      <c r="A44" s="159" t="s">
        <v>78</v>
      </c>
      <c r="B44" s="159" t="s">
        <v>167</v>
      </c>
      <c r="C44" s="162">
        <v>180</v>
      </c>
      <c r="D44" s="162">
        <v>250</v>
      </c>
      <c r="E44" s="162">
        <v>300</v>
      </c>
      <c r="F44" s="8" t="s">
        <v>165</v>
      </c>
    </row>
    <row r="45" spans="1:6" x14ac:dyDescent="0.25">
      <c r="A45" s="159" t="s">
        <v>80</v>
      </c>
      <c r="B45" s="159" t="s">
        <v>72</v>
      </c>
      <c r="C45" s="162">
        <v>1500</v>
      </c>
      <c r="D45" s="162">
        <v>2000</v>
      </c>
      <c r="E45" s="162">
        <v>2500</v>
      </c>
      <c r="F45" s="8" t="s">
        <v>165</v>
      </c>
    </row>
    <row r="46" spans="1:6" x14ac:dyDescent="0.25">
      <c r="A46" s="159" t="s">
        <v>82</v>
      </c>
      <c r="B46" s="159" t="s">
        <v>74</v>
      </c>
      <c r="C46" s="162">
        <v>2000</v>
      </c>
      <c r="D46" s="162">
        <v>2500</v>
      </c>
      <c r="E46" s="162">
        <v>2800</v>
      </c>
      <c r="F46" s="8" t="s">
        <v>165</v>
      </c>
    </row>
    <row r="47" spans="1:6" x14ac:dyDescent="0.25">
      <c r="A47" s="159" t="s">
        <v>84</v>
      </c>
      <c r="B47" s="159" t="s">
        <v>76</v>
      </c>
      <c r="C47" s="162">
        <v>550</v>
      </c>
      <c r="D47" s="162">
        <v>650</v>
      </c>
      <c r="E47" s="162">
        <v>750</v>
      </c>
      <c r="F47" s="8" t="s">
        <v>165</v>
      </c>
    </row>
    <row r="48" spans="1:6" x14ac:dyDescent="0.25">
      <c r="A48" s="159" t="s">
        <v>86</v>
      </c>
      <c r="B48" s="159" t="s">
        <v>169</v>
      </c>
      <c r="C48" s="162">
        <v>4000</v>
      </c>
      <c r="D48" s="162">
        <v>4500</v>
      </c>
      <c r="E48" s="162">
        <v>5000</v>
      </c>
      <c r="F48" s="8" t="s">
        <v>165</v>
      </c>
    </row>
    <row r="49" spans="1:6" x14ac:dyDescent="0.25">
      <c r="A49" s="159" t="s">
        <v>88</v>
      </c>
      <c r="B49" s="159" t="s">
        <v>168</v>
      </c>
      <c r="C49" s="162">
        <v>600</v>
      </c>
      <c r="D49" s="162">
        <v>800</v>
      </c>
      <c r="E49" s="162">
        <v>1100</v>
      </c>
      <c r="F49" s="8" t="s">
        <v>165</v>
      </c>
    </row>
    <row r="50" spans="1:6" x14ac:dyDescent="0.25">
      <c r="A50" s="159" t="s">
        <v>90</v>
      </c>
      <c r="B50" s="159" t="s">
        <v>79</v>
      </c>
      <c r="C50" s="162">
        <v>20</v>
      </c>
      <c r="D50" s="162">
        <v>25</v>
      </c>
      <c r="E50" s="162">
        <v>30</v>
      </c>
      <c r="F50" s="8" t="s">
        <v>165</v>
      </c>
    </row>
    <row r="51" spans="1:6" x14ac:dyDescent="0.25">
      <c r="A51" s="159" t="s">
        <v>91</v>
      </c>
      <c r="B51" s="159" t="s">
        <v>81</v>
      </c>
      <c r="C51" s="162">
        <v>50</v>
      </c>
      <c r="D51" s="162">
        <v>60</v>
      </c>
      <c r="E51" s="162">
        <v>70</v>
      </c>
      <c r="F51" s="8" t="s">
        <v>165</v>
      </c>
    </row>
    <row r="52" spans="1:6" x14ac:dyDescent="0.25">
      <c r="A52" s="159" t="s">
        <v>92</v>
      </c>
      <c r="B52" s="159" t="s">
        <v>170</v>
      </c>
      <c r="C52" s="162">
        <v>50</v>
      </c>
      <c r="D52" s="162">
        <v>60</v>
      </c>
      <c r="E52" s="162">
        <v>70</v>
      </c>
      <c r="F52" s="8" t="s">
        <v>165</v>
      </c>
    </row>
    <row r="53" spans="1:6" x14ac:dyDescent="0.25">
      <c r="A53" s="159" t="s">
        <v>94</v>
      </c>
      <c r="B53" s="159" t="s">
        <v>171</v>
      </c>
      <c r="C53" s="162">
        <v>100</v>
      </c>
      <c r="D53" s="162">
        <v>120</v>
      </c>
      <c r="E53" s="162">
        <v>150</v>
      </c>
      <c r="F53" s="8" t="s">
        <v>165</v>
      </c>
    </row>
    <row r="54" spans="1:6" x14ac:dyDescent="0.25">
      <c r="A54" s="159" t="s">
        <v>96</v>
      </c>
      <c r="B54" s="159" t="s">
        <v>83</v>
      </c>
      <c r="C54" s="162">
        <v>20</v>
      </c>
      <c r="D54" s="162">
        <v>24</v>
      </c>
      <c r="E54" s="162">
        <v>30</v>
      </c>
      <c r="F54" s="8" t="s">
        <v>165</v>
      </c>
    </row>
    <row r="55" spans="1:6" x14ac:dyDescent="0.25">
      <c r="A55" s="159" t="s">
        <v>98</v>
      </c>
      <c r="B55" s="159" t="s">
        <v>85</v>
      </c>
      <c r="C55" s="162">
        <v>30</v>
      </c>
      <c r="D55" s="162">
        <v>36</v>
      </c>
      <c r="E55" s="162">
        <v>44</v>
      </c>
      <c r="F55" s="8" t="s">
        <v>165</v>
      </c>
    </row>
    <row r="56" spans="1:6" x14ac:dyDescent="0.25">
      <c r="A56" s="159" t="s">
        <v>109</v>
      </c>
      <c r="B56" s="159" t="s">
        <v>87</v>
      </c>
      <c r="C56" s="162">
        <v>25</v>
      </c>
      <c r="D56" s="162">
        <v>28</v>
      </c>
      <c r="E56" s="162">
        <v>30</v>
      </c>
      <c r="F56" s="8" t="s">
        <v>165</v>
      </c>
    </row>
    <row r="57" spans="1:6" x14ac:dyDescent="0.25">
      <c r="A57" s="159" t="s">
        <v>110</v>
      </c>
      <c r="B57" s="159" t="s">
        <v>172</v>
      </c>
      <c r="C57" s="162">
        <v>25</v>
      </c>
      <c r="D57" s="162">
        <v>28</v>
      </c>
      <c r="E57" s="162">
        <v>30</v>
      </c>
      <c r="F57" s="8" t="s">
        <v>165</v>
      </c>
    </row>
    <row r="58" spans="1:6" x14ac:dyDescent="0.25">
      <c r="A58" s="159" t="s">
        <v>111</v>
      </c>
      <c r="B58" s="159" t="s">
        <v>266</v>
      </c>
      <c r="C58" s="162">
        <v>18720</v>
      </c>
      <c r="D58" s="162">
        <v>18720</v>
      </c>
      <c r="E58" s="162">
        <v>18720</v>
      </c>
      <c r="F58" s="8" t="s">
        <v>165</v>
      </c>
    </row>
    <row r="59" spans="1:6" x14ac:dyDescent="0.25">
      <c r="A59" s="159" t="s">
        <v>112</v>
      </c>
      <c r="B59" s="159" t="s">
        <v>89</v>
      </c>
      <c r="C59" s="162">
        <v>7000</v>
      </c>
      <c r="D59" s="162">
        <v>8500</v>
      </c>
      <c r="E59" s="162">
        <v>10000</v>
      </c>
      <c r="F59" s="8" t="s">
        <v>165</v>
      </c>
    </row>
    <row r="60" spans="1:6" x14ac:dyDescent="0.25">
      <c r="A60" s="159" t="s">
        <v>114</v>
      </c>
      <c r="B60" s="159" t="s">
        <v>173</v>
      </c>
      <c r="C60" s="162">
        <v>1200</v>
      </c>
      <c r="D60" s="162">
        <v>1500</v>
      </c>
      <c r="E60" s="162">
        <v>2000</v>
      </c>
      <c r="F60" s="8" t="s">
        <v>165</v>
      </c>
    </row>
    <row r="61" spans="1:6" x14ac:dyDescent="0.25">
      <c r="A61" s="159" t="s">
        <v>115</v>
      </c>
      <c r="B61" s="159" t="s">
        <v>174</v>
      </c>
      <c r="C61" s="162">
        <v>650</v>
      </c>
      <c r="D61" s="162">
        <v>750</v>
      </c>
      <c r="E61" s="162">
        <v>850</v>
      </c>
      <c r="F61" s="8" t="s">
        <v>165</v>
      </c>
    </row>
    <row r="62" spans="1:6" x14ac:dyDescent="0.25">
      <c r="A62" s="159" t="s">
        <v>117</v>
      </c>
      <c r="B62" s="159" t="s">
        <v>175</v>
      </c>
      <c r="C62" s="162">
        <v>650</v>
      </c>
      <c r="D62" s="162">
        <v>750</v>
      </c>
      <c r="E62" s="162">
        <v>850</v>
      </c>
      <c r="F62" s="8" t="s">
        <v>165</v>
      </c>
    </row>
    <row r="63" spans="1:6" x14ac:dyDescent="0.25">
      <c r="A63" s="159" t="s">
        <v>119</v>
      </c>
      <c r="B63" s="159" t="s">
        <v>263</v>
      </c>
      <c r="C63" s="162">
        <v>30000</v>
      </c>
      <c r="D63" s="162">
        <v>30000</v>
      </c>
      <c r="E63" s="162">
        <v>30000</v>
      </c>
      <c r="F63" s="8"/>
    </row>
    <row r="64" spans="1:6" x14ac:dyDescent="0.25">
      <c r="A64" s="159" t="s">
        <v>120</v>
      </c>
      <c r="B64" s="160" t="s">
        <v>176</v>
      </c>
      <c r="C64" s="162">
        <v>40000</v>
      </c>
      <c r="D64" s="162">
        <v>40000</v>
      </c>
      <c r="E64" s="162">
        <v>40000</v>
      </c>
      <c r="F64" s="8" t="s">
        <v>165</v>
      </c>
    </row>
    <row r="65" spans="1:6" x14ac:dyDescent="0.25">
      <c r="A65" s="159" t="s">
        <v>122</v>
      </c>
      <c r="B65" s="160" t="s">
        <v>93</v>
      </c>
      <c r="C65" s="162">
        <v>5500</v>
      </c>
      <c r="D65" s="162">
        <v>5500</v>
      </c>
      <c r="E65" s="162">
        <v>5500</v>
      </c>
      <c r="F65" s="8" t="s">
        <v>165</v>
      </c>
    </row>
    <row r="66" spans="1:6" x14ac:dyDescent="0.25">
      <c r="A66" s="159" t="s">
        <v>124</v>
      </c>
      <c r="B66" s="160" t="s">
        <v>262</v>
      </c>
      <c r="C66" s="162">
        <v>800</v>
      </c>
      <c r="D66" s="162">
        <v>900</v>
      </c>
      <c r="E66" s="162">
        <v>1000</v>
      </c>
      <c r="F66" s="8" t="s">
        <v>165</v>
      </c>
    </row>
    <row r="67" spans="1:6" x14ac:dyDescent="0.25">
      <c r="A67" s="159" t="s">
        <v>126</v>
      </c>
      <c r="B67" s="160" t="s">
        <v>260</v>
      </c>
      <c r="C67" s="162">
        <v>800</v>
      </c>
      <c r="D67" s="162">
        <v>900</v>
      </c>
      <c r="E67" s="162">
        <v>1000</v>
      </c>
      <c r="F67" s="8" t="s">
        <v>165</v>
      </c>
    </row>
    <row r="68" spans="1:6" x14ac:dyDescent="0.25">
      <c r="A68" s="159" t="s">
        <v>128</v>
      </c>
      <c r="B68" s="160" t="s">
        <v>261</v>
      </c>
      <c r="C68" s="162">
        <v>800</v>
      </c>
      <c r="D68" s="162">
        <v>900</v>
      </c>
      <c r="E68" s="162">
        <v>1000</v>
      </c>
      <c r="F68" s="8" t="s">
        <v>165</v>
      </c>
    </row>
    <row r="69" spans="1:6" x14ac:dyDescent="0.25">
      <c r="A69" s="159" t="s">
        <v>247</v>
      </c>
      <c r="B69" s="160" t="s">
        <v>95</v>
      </c>
      <c r="C69" s="162">
        <v>450</v>
      </c>
      <c r="D69" s="162">
        <v>500</v>
      </c>
      <c r="E69" s="162">
        <v>550</v>
      </c>
      <c r="F69" s="8" t="s">
        <v>165</v>
      </c>
    </row>
    <row r="70" spans="1:6" x14ac:dyDescent="0.25">
      <c r="A70" s="159" t="s">
        <v>248</v>
      </c>
      <c r="B70" s="160" t="s">
        <v>97</v>
      </c>
      <c r="C70" s="162">
        <v>450</v>
      </c>
      <c r="D70" s="162">
        <v>500</v>
      </c>
      <c r="E70" s="162">
        <v>550</v>
      </c>
      <c r="F70" s="8" t="s">
        <v>165</v>
      </c>
    </row>
    <row r="71" spans="1:6" x14ac:dyDescent="0.25">
      <c r="A71" s="159" t="s">
        <v>249</v>
      </c>
      <c r="B71" s="160" t="s">
        <v>99</v>
      </c>
      <c r="C71" s="162">
        <v>450</v>
      </c>
      <c r="D71" s="162">
        <v>500</v>
      </c>
      <c r="E71" s="162">
        <v>550</v>
      </c>
      <c r="F71" s="8" t="s">
        <v>165</v>
      </c>
    </row>
  </sheetData>
  <mergeCells count="6">
    <mergeCell ref="A1:F1"/>
    <mergeCell ref="A2:F2"/>
    <mergeCell ref="A3:F3"/>
    <mergeCell ref="A6:A7"/>
    <mergeCell ref="B6:B7"/>
    <mergeCell ref="F6:F7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</vt:i4>
      </vt:variant>
    </vt:vector>
  </HeadingPairs>
  <TitlesOfParts>
    <vt:vector size="10" baseType="lpstr">
      <vt:lpstr>Costing Sheet</vt:lpstr>
      <vt:lpstr>HT Cal</vt:lpstr>
      <vt:lpstr>HT Size</vt:lpstr>
      <vt:lpstr>Weight Cal</vt:lpstr>
      <vt:lpstr>Input Size</vt:lpstr>
      <vt:lpstr>Conditions</vt:lpstr>
      <vt:lpstr>Density</vt:lpstr>
      <vt:lpstr>Materials Rate</vt:lpstr>
      <vt:lpstr>Machining</vt:lpstr>
      <vt:lpstr>'Costing Sheet'!Print_Area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2020-06-23T09:16:44Z</dcterms:modified>
</cp:coreProperties>
</file>